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Work\Researches\Manuscripts\Under Puplication\ML Q1\Puplication Files Biomass and bioenergy\"/>
    </mc:Choice>
  </mc:AlternateContent>
  <xr:revisionPtr revIDLastSave="0" documentId="13_ncr:1_{9FBF3B92-1765-4330-B7BD-E12F8A9CA2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5" r:id="rId1"/>
    <sheet name="Reference" sheetId="11" r:id="rId2"/>
  </sheets>
  <definedNames>
    <definedName name="_xlnm._FilterDatabase" localSheetId="1" hidden="1">Reference!$A$3:$B$41</definedName>
    <definedName name="_xlnm.Print_Area" localSheetId="1">Reference!$A$1:$B$41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2" i="15"/>
  <c r="L284" i="15"/>
  <c r="M283" i="15"/>
  <c r="D109" i="15"/>
  <c r="D108" i="15"/>
  <c r="D107" i="15"/>
  <c r="D106" i="15"/>
  <c r="D105" i="15"/>
  <c r="D104" i="15"/>
  <c r="D32" i="15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04EED430AE874B8DA8C68C220EEE6C3E"/>
        <xdr:cNvPicPr>
          <a:picLocks noChangeAspect="1"/>
        </xdr:cNvPicPr>
      </xdr:nvPicPr>
      <xdr:blipFill>
        <a:blip r:embed="rId1"/>
        <a:srcRect r="-8930" b="11409"/>
        <a:stretch>
          <a:fillRect/>
        </a:stretch>
      </xdr:blipFill>
      <xdr:spPr>
        <a:xfrm>
          <a:off x="200834625" y="190500"/>
          <a:ext cx="704850" cy="7346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17F71D27EEBD47638058B8C85D8BD499"/>
        <xdr:cNvPicPr>
          <a:picLocks noChangeAspect="1"/>
        </xdr:cNvPicPr>
      </xdr:nvPicPr>
      <xdr:blipFill>
        <a:blip r:embed="rId2"/>
        <a:srcRect b="8729"/>
        <a:stretch>
          <a:fillRect/>
        </a:stretch>
      </xdr:blipFill>
      <xdr:spPr>
        <a:xfrm>
          <a:off x="201984610" y="191135"/>
          <a:ext cx="849630" cy="756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D5B078AD75B742A8B6DD00AF020EBC6A"/>
        <xdr:cNvPicPr>
          <a:picLocks noChangeAspect="1"/>
        </xdr:cNvPicPr>
      </xdr:nvPicPr>
      <xdr:blipFill>
        <a:blip r:embed="rId3"/>
        <a:srcRect b="10106"/>
        <a:stretch>
          <a:fillRect/>
        </a:stretch>
      </xdr:blipFill>
      <xdr:spPr>
        <a:xfrm>
          <a:off x="199776080" y="189230"/>
          <a:ext cx="633730" cy="7512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A6EF0E33B8884719BC5810DDC4ACA872"/>
        <xdr:cNvPicPr>
          <a:picLocks noChangeAspect="1"/>
        </xdr:cNvPicPr>
      </xdr:nvPicPr>
      <xdr:blipFill>
        <a:blip r:embed="rId4"/>
        <a:srcRect b="9650"/>
        <a:stretch>
          <a:fillRect/>
        </a:stretch>
      </xdr:blipFill>
      <xdr:spPr>
        <a:xfrm>
          <a:off x="198666100" y="189230"/>
          <a:ext cx="908685" cy="7550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4A439D1CC3004D7EA6998799C101CC7B"/>
        <xdr:cNvPicPr>
          <a:picLocks noChangeAspect="1"/>
        </xdr:cNvPicPr>
      </xdr:nvPicPr>
      <xdr:blipFill>
        <a:blip r:embed="rId5"/>
        <a:srcRect b="9195"/>
        <a:stretch>
          <a:fillRect/>
        </a:stretch>
      </xdr:blipFill>
      <xdr:spPr>
        <a:xfrm>
          <a:off x="197594220" y="189230"/>
          <a:ext cx="988695" cy="75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BCF088A8109C4C4382E3661BDE05D04A"/>
        <xdr:cNvPicPr>
          <a:picLocks noChangeAspect="1"/>
        </xdr:cNvPicPr>
      </xdr:nvPicPr>
      <xdr:blipFill>
        <a:blip r:embed="rId6"/>
        <a:srcRect b="9195"/>
        <a:stretch>
          <a:fillRect/>
        </a:stretch>
      </xdr:blipFill>
      <xdr:spPr>
        <a:xfrm>
          <a:off x="196773165" y="189230"/>
          <a:ext cx="600075" cy="75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" name="ID_6E83EC25961846C7853A3CB160B3041A"/>
        <xdr:cNvPicPr>
          <a:picLocks noChangeAspect="1"/>
        </xdr:cNvPicPr>
      </xdr:nvPicPr>
      <xdr:blipFill>
        <a:blip r:embed="rId7"/>
        <a:srcRect b="8926"/>
        <a:stretch>
          <a:fillRect/>
        </a:stretch>
      </xdr:blipFill>
      <xdr:spPr>
        <a:xfrm>
          <a:off x="195710810" y="189230"/>
          <a:ext cx="651510" cy="764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" name="ID_F9775DEEC5FF43E28D9CCE233D2D1531"/>
        <xdr:cNvPicPr>
          <a:picLocks noChangeAspect="1"/>
        </xdr:cNvPicPr>
      </xdr:nvPicPr>
      <xdr:blipFill>
        <a:blip r:embed="rId8"/>
        <a:srcRect b="16920"/>
        <a:stretch>
          <a:fillRect/>
        </a:stretch>
      </xdr:blipFill>
      <xdr:spPr>
        <a:xfrm>
          <a:off x="194544950" y="229235"/>
          <a:ext cx="922020" cy="69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B2C6AD6D695643C0A94D80F4429A5761"/>
        <xdr:cNvPicPr>
          <a:picLocks noChangeAspect="1"/>
        </xdr:cNvPicPr>
      </xdr:nvPicPr>
      <xdr:blipFill>
        <a:blip r:embed="rId9"/>
        <a:srcRect b="9228"/>
        <a:stretch>
          <a:fillRect/>
        </a:stretch>
      </xdr:blipFill>
      <xdr:spPr>
        <a:xfrm>
          <a:off x="193532760" y="189230"/>
          <a:ext cx="88836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00304259FD94497D9945CDAA3F81E281"/>
        <xdr:cNvPicPr>
          <a:picLocks noChangeAspect="1"/>
        </xdr:cNvPicPr>
      </xdr:nvPicPr>
      <xdr:blipFill>
        <a:blip r:embed="rId10"/>
        <a:srcRect b="14221"/>
        <a:stretch>
          <a:fillRect/>
        </a:stretch>
      </xdr:blipFill>
      <xdr:spPr>
        <a:xfrm>
          <a:off x="192634870" y="189230"/>
          <a:ext cx="604520" cy="720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" name="ID_6E7E49D9A1C0414C8A272063775BC7D7"/>
        <xdr:cNvPicPr>
          <a:picLocks noChangeAspect="1"/>
        </xdr:cNvPicPr>
      </xdr:nvPicPr>
      <xdr:blipFill>
        <a:blip r:embed="rId11"/>
        <a:srcRect b="11725"/>
        <a:stretch>
          <a:fillRect/>
        </a:stretch>
      </xdr:blipFill>
      <xdr:spPr>
        <a:xfrm>
          <a:off x="191622680" y="189230"/>
          <a:ext cx="613410" cy="741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26B4DACA149040B0B88D3909691A8ECD"/>
        <xdr:cNvPicPr>
          <a:picLocks noChangeAspect="1"/>
        </xdr:cNvPicPr>
      </xdr:nvPicPr>
      <xdr:blipFill>
        <a:blip r:embed="rId12"/>
        <a:srcRect b="10287"/>
        <a:stretch>
          <a:fillRect/>
        </a:stretch>
      </xdr:blipFill>
      <xdr:spPr>
        <a:xfrm>
          <a:off x="190059945" y="189230"/>
          <a:ext cx="847090" cy="7531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" name="ID_5EA1E2286CBF4D68B286C157CD205973"/>
        <xdr:cNvPicPr>
          <a:picLocks noChangeAspect="1"/>
        </xdr:cNvPicPr>
      </xdr:nvPicPr>
      <xdr:blipFill>
        <a:blip r:embed="rId13"/>
        <a:srcRect b="9228"/>
        <a:stretch>
          <a:fillRect/>
        </a:stretch>
      </xdr:blipFill>
      <xdr:spPr>
        <a:xfrm>
          <a:off x="189014100" y="189230"/>
          <a:ext cx="76390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997CBC62CC10482495C719FBC491E3E5"/>
        <xdr:cNvPicPr>
          <a:picLocks noChangeAspect="1"/>
        </xdr:cNvPicPr>
      </xdr:nvPicPr>
      <xdr:blipFill>
        <a:blip r:embed="rId14"/>
        <a:srcRect b="7867"/>
        <a:stretch>
          <a:fillRect/>
        </a:stretch>
      </xdr:blipFill>
      <xdr:spPr>
        <a:xfrm>
          <a:off x="186375040" y="189230"/>
          <a:ext cx="716915" cy="7734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5" name="ID_B7CC7DBCBF9D4E55B76643DB9B5597C3"/>
        <xdr:cNvPicPr>
          <a:picLocks noChangeAspect="1"/>
        </xdr:cNvPicPr>
      </xdr:nvPicPr>
      <xdr:blipFill>
        <a:blip r:embed="rId15"/>
        <a:srcRect b="8926"/>
        <a:stretch>
          <a:fillRect/>
        </a:stretch>
      </xdr:blipFill>
      <xdr:spPr>
        <a:xfrm>
          <a:off x="187246260" y="226695"/>
          <a:ext cx="705485" cy="6184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6" name="ID_B434A376B0554A5197FE7F87AD8E44EA"/>
        <xdr:cNvPicPr>
          <a:picLocks noChangeAspect="1"/>
        </xdr:cNvPicPr>
      </xdr:nvPicPr>
      <xdr:blipFill>
        <a:blip r:embed="rId16"/>
        <a:srcRect b="10423"/>
        <a:stretch>
          <a:fillRect/>
        </a:stretch>
      </xdr:blipFill>
      <xdr:spPr>
        <a:xfrm>
          <a:off x="185338085" y="187325"/>
          <a:ext cx="605790" cy="7531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7" name="ID_286922CD90E7415E836A2A34E0DFC096"/>
        <xdr:cNvPicPr>
          <a:picLocks noChangeAspect="1"/>
        </xdr:cNvPicPr>
      </xdr:nvPicPr>
      <xdr:blipFill>
        <a:blip r:embed="rId17"/>
        <a:srcRect b="12613"/>
        <a:stretch>
          <a:fillRect/>
        </a:stretch>
      </xdr:blipFill>
      <xdr:spPr>
        <a:xfrm>
          <a:off x="183991885" y="187325"/>
          <a:ext cx="868680" cy="7346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8" name="ID_AB86517C13C940CD89DFF18B778983CA"/>
        <xdr:cNvPicPr>
          <a:picLocks noChangeAspect="1"/>
        </xdr:cNvPicPr>
      </xdr:nvPicPr>
      <xdr:blipFill>
        <a:blip r:embed="rId18"/>
        <a:srcRect b="9290"/>
        <a:stretch>
          <a:fillRect/>
        </a:stretch>
      </xdr:blipFill>
      <xdr:spPr>
        <a:xfrm>
          <a:off x="182443120" y="187325"/>
          <a:ext cx="957580" cy="7626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6C601B1B925D4959B3CDD1CC47FAAEA0"/>
        <xdr:cNvPicPr>
          <a:picLocks noChangeAspect="1"/>
        </xdr:cNvPicPr>
      </xdr:nvPicPr>
      <xdr:blipFill>
        <a:blip r:embed="rId19"/>
        <a:srcRect b="9592"/>
        <a:stretch>
          <a:fillRect/>
        </a:stretch>
      </xdr:blipFill>
      <xdr:spPr>
        <a:xfrm>
          <a:off x="180774340" y="187325"/>
          <a:ext cx="907415" cy="7600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0" name="ID_4005AFA6E8BD4FAEB262545E9560D590"/>
        <xdr:cNvPicPr>
          <a:picLocks noChangeAspect="1"/>
        </xdr:cNvPicPr>
      </xdr:nvPicPr>
      <xdr:blipFill>
        <a:blip r:embed="rId20"/>
        <a:srcRect b="10640"/>
        <a:stretch>
          <a:fillRect/>
        </a:stretch>
      </xdr:blipFill>
      <xdr:spPr>
        <a:xfrm>
          <a:off x="179550695" y="187325"/>
          <a:ext cx="902335" cy="769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1" name="ID_33D3350F768F4CB5AD9E281B9ED31BE3"/>
        <xdr:cNvPicPr>
          <a:picLocks noChangeAspect="1"/>
        </xdr:cNvPicPr>
      </xdr:nvPicPr>
      <xdr:blipFill>
        <a:blip r:embed="rId21"/>
        <a:srcRect b="13444"/>
        <a:stretch>
          <a:fillRect/>
        </a:stretch>
      </xdr:blipFill>
      <xdr:spPr>
        <a:xfrm>
          <a:off x="177991135" y="187325"/>
          <a:ext cx="881380" cy="7277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2" name="ID_1984682337CB43A7B1EFE1257CEB042F"/>
        <xdr:cNvPicPr>
          <a:picLocks noChangeAspect="1"/>
        </xdr:cNvPicPr>
      </xdr:nvPicPr>
      <xdr:blipFill>
        <a:blip r:embed="rId22"/>
        <a:srcRect b="15937"/>
        <a:stretch>
          <a:fillRect/>
        </a:stretch>
      </xdr:blipFill>
      <xdr:spPr>
        <a:xfrm>
          <a:off x="176978310" y="187325"/>
          <a:ext cx="548640" cy="7067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D05904DDA5F14562926CA2812A12F505"/>
        <xdr:cNvPicPr>
          <a:picLocks noChangeAspect="1"/>
        </xdr:cNvPicPr>
      </xdr:nvPicPr>
      <xdr:blipFill>
        <a:blip r:embed="rId23"/>
        <a:srcRect b="24067"/>
        <a:stretch>
          <a:fillRect/>
        </a:stretch>
      </xdr:blipFill>
      <xdr:spPr>
        <a:xfrm>
          <a:off x="175757840" y="249555"/>
          <a:ext cx="728980" cy="6330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5" name="ID_E83BD33BC08345FC8E18983CC3802E86"/>
        <xdr:cNvPicPr>
          <a:picLocks noChangeAspect="1"/>
        </xdr:cNvPicPr>
      </xdr:nvPicPr>
      <xdr:blipFill>
        <a:blip r:embed="rId24"/>
        <a:srcRect b="16465"/>
        <a:stretch>
          <a:fillRect/>
        </a:stretch>
      </xdr:blipFill>
      <xdr:spPr>
        <a:xfrm>
          <a:off x="174429420" y="187325"/>
          <a:ext cx="875030" cy="7023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6" name="ID_C5A8310434544FC7B1B54551953C707B"/>
        <xdr:cNvPicPr>
          <a:picLocks noChangeAspect="1"/>
        </xdr:cNvPicPr>
      </xdr:nvPicPr>
      <xdr:blipFill>
        <a:blip r:embed="rId25"/>
        <a:srcRect b="8988"/>
        <a:stretch>
          <a:fillRect/>
        </a:stretch>
      </xdr:blipFill>
      <xdr:spPr>
        <a:xfrm>
          <a:off x="172923835" y="187325"/>
          <a:ext cx="924560" cy="765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81BC269D01CA4379932234C163CCD007"/>
        <xdr:cNvPicPr>
          <a:picLocks noChangeAspect="1"/>
        </xdr:cNvPicPr>
      </xdr:nvPicPr>
      <xdr:blipFill>
        <a:blip r:embed="rId26"/>
        <a:srcRect b="9592"/>
        <a:stretch>
          <a:fillRect/>
        </a:stretch>
      </xdr:blipFill>
      <xdr:spPr>
        <a:xfrm>
          <a:off x="171778295" y="187325"/>
          <a:ext cx="638810" cy="7600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F15EC039B54A4CC6BE69CE99EAE53D31"/>
        <xdr:cNvPicPr>
          <a:picLocks noChangeAspect="1"/>
        </xdr:cNvPicPr>
      </xdr:nvPicPr>
      <xdr:blipFill>
        <a:blip r:embed="rId27"/>
        <a:srcRect b="15332"/>
        <a:stretch>
          <a:fillRect/>
        </a:stretch>
      </xdr:blipFill>
      <xdr:spPr>
        <a:xfrm>
          <a:off x="170493055" y="187325"/>
          <a:ext cx="812800" cy="7118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0A3C7D86F55B40A694F6AF796C778427"/>
        <xdr:cNvPicPr>
          <a:picLocks noChangeAspect="1"/>
        </xdr:cNvPicPr>
      </xdr:nvPicPr>
      <xdr:blipFill>
        <a:blip r:embed="rId28"/>
        <a:srcRect b="16767"/>
        <a:stretch>
          <a:fillRect/>
        </a:stretch>
      </xdr:blipFill>
      <xdr:spPr>
        <a:xfrm>
          <a:off x="169040175" y="187325"/>
          <a:ext cx="899160" cy="6997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4384578AF3C542A481ABE91E4BE40F53"/>
        <xdr:cNvPicPr>
          <a:picLocks noChangeAspect="1"/>
        </xdr:cNvPicPr>
      </xdr:nvPicPr>
      <xdr:blipFill>
        <a:blip r:embed="rId29"/>
        <a:srcRect b="9819"/>
        <a:stretch>
          <a:fillRect/>
        </a:stretch>
      </xdr:blipFill>
      <xdr:spPr>
        <a:xfrm>
          <a:off x="167588565" y="187325"/>
          <a:ext cx="878840" cy="7581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BA709E4A67AF435FBBF9DE650A3F03E7"/>
        <xdr:cNvPicPr>
          <a:picLocks noChangeAspect="1"/>
        </xdr:cNvPicPr>
      </xdr:nvPicPr>
      <xdr:blipFill>
        <a:blip r:embed="rId30"/>
        <a:srcRect b="8988"/>
        <a:stretch>
          <a:fillRect/>
        </a:stretch>
      </xdr:blipFill>
      <xdr:spPr>
        <a:xfrm>
          <a:off x="166122985" y="187325"/>
          <a:ext cx="892810" cy="765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AEE1D50B2C0D4BB592B790E21A2DBED2"/>
        <xdr:cNvPicPr>
          <a:picLocks noChangeAspect="1"/>
        </xdr:cNvPicPr>
      </xdr:nvPicPr>
      <xdr:blipFill>
        <a:blip r:embed="rId31"/>
        <a:srcRect b="8988"/>
        <a:stretch>
          <a:fillRect/>
        </a:stretch>
      </xdr:blipFill>
      <xdr:spPr>
        <a:xfrm>
          <a:off x="164985700" y="187325"/>
          <a:ext cx="640715" cy="765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0C530218D8E34A34BA5A11DDC4125B14"/>
        <xdr:cNvPicPr>
          <a:picLocks noChangeAspect="1"/>
        </xdr:cNvPicPr>
      </xdr:nvPicPr>
      <xdr:blipFill>
        <a:blip r:embed="rId32"/>
        <a:srcRect l="-3721" t="-1287" r="-14967" b="10121"/>
        <a:stretch>
          <a:fillRect/>
        </a:stretch>
      </xdr:blipFill>
      <xdr:spPr>
        <a:xfrm>
          <a:off x="163567110" y="242570"/>
          <a:ext cx="771525" cy="645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3270CBC932784A45A693C25DED6A2DF9"/>
        <xdr:cNvPicPr>
          <a:picLocks noChangeAspect="1"/>
        </xdr:cNvPicPr>
      </xdr:nvPicPr>
      <xdr:blipFill>
        <a:blip r:embed="rId33"/>
        <a:srcRect b="15328"/>
        <a:stretch>
          <a:fillRect/>
        </a:stretch>
      </xdr:blipFill>
      <xdr:spPr>
        <a:xfrm>
          <a:off x="162827335" y="187325"/>
          <a:ext cx="541655" cy="639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1537A87D3DF34C88B8EC189BAD9387C5"/>
        <xdr:cNvPicPr>
          <a:picLocks noChangeAspect="1"/>
        </xdr:cNvPicPr>
      </xdr:nvPicPr>
      <xdr:blipFill>
        <a:blip r:embed="rId34"/>
        <a:srcRect t="-6425" b="10860"/>
        <a:stretch>
          <a:fillRect/>
        </a:stretch>
      </xdr:blipFill>
      <xdr:spPr>
        <a:xfrm>
          <a:off x="161539555" y="248285"/>
          <a:ext cx="770255" cy="66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4CF9034570574E61914771119615BBDD"/>
        <xdr:cNvPicPr>
          <a:picLocks noChangeAspect="1"/>
        </xdr:cNvPicPr>
      </xdr:nvPicPr>
      <xdr:blipFill>
        <a:blip r:embed="rId35"/>
        <a:srcRect l="7327" r="5676" b="17821"/>
        <a:stretch>
          <a:fillRect/>
        </a:stretch>
      </xdr:blipFill>
      <xdr:spPr>
        <a:xfrm>
          <a:off x="160417510" y="187325"/>
          <a:ext cx="486410" cy="625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4DC1C3A7216F4760B4A760705F2A3F56"/>
        <xdr:cNvPicPr>
          <a:picLocks noChangeAspect="1"/>
        </xdr:cNvPicPr>
      </xdr:nvPicPr>
      <xdr:blipFill>
        <a:blip r:embed="rId36"/>
        <a:srcRect b="9231"/>
        <a:stretch>
          <a:fillRect/>
        </a:stretch>
      </xdr:blipFill>
      <xdr:spPr>
        <a:xfrm>
          <a:off x="158990030" y="187325"/>
          <a:ext cx="780415" cy="6369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9FC6352C45524CD59FD61A107F19A528"/>
        <xdr:cNvPicPr>
          <a:picLocks noChangeAspect="1"/>
        </xdr:cNvPicPr>
      </xdr:nvPicPr>
      <xdr:blipFill>
        <a:blip r:embed="rId37"/>
        <a:srcRect b="14842"/>
        <a:stretch>
          <a:fillRect/>
        </a:stretch>
      </xdr:blipFill>
      <xdr:spPr>
        <a:xfrm>
          <a:off x="157593030" y="187325"/>
          <a:ext cx="732155" cy="5975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589E625F63184DCBAE3D14BD956E2AC4"/>
        <xdr:cNvPicPr>
          <a:picLocks noChangeAspect="1"/>
        </xdr:cNvPicPr>
      </xdr:nvPicPr>
      <xdr:blipFill>
        <a:blip r:embed="rId38"/>
        <a:srcRect b="20452"/>
        <a:stretch>
          <a:fillRect/>
        </a:stretch>
      </xdr:blipFill>
      <xdr:spPr>
        <a:xfrm>
          <a:off x="155679140" y="187325"/>
          <a:ext cx="1003300" cy="5581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7CB0DB98757A49C58962159E345EB2A3"/>
        <xdr:cNvPicPr>
          <a:picLocks noChangeAspect="1"/>
        </xdr:cNvPicPr>
      </xdr:nvPicPr>
      <xdr:blipFill>
        <a:blip r:embed="rId39"/>
        <a:srcRect t="-6063" b="21086"/>
        <a:stretch>
          <a:fillRect/>
        </a:stretch>
      </xdr:blipFill>
      <xdr:spPr>
        <a:xfrm>
          <a:off x="154435175" y="262890"/>
          <a:ext cx="598170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05908A7E86874658ADCBAE114706E6C5"/>
        <xdr:cNvPicPr>
          <a:picLocks noChangeAspect="1"/>
        </xdr:cNvPicPr>
      </xdr:nvPicPr>
      <xdr:blipFill>
        <a:blip r:embed="rId40"/>
        <a:srcRect b="16471"/>
        <a:stretch>
          <a:fillRect/>
        </a:stretch>
      </xdr:blipFill>
      <xdr:spPr>
        <a:xfrm>
          <a:off x="153228040" y="187325"/>
          <a:ext cx="564515" cy="586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EF84565DAB7E419A8651DE2A93EAFB70"/>
        <xdr:cNvPicPr>
          <a:picLocks noChangeAspect="1"/>
        </xdr:cNvPicPr>
      </xdr:nvPicPr>
      <xdr:blipFill>
        <a:blip r:embed="rId41"/>
        <a:srcRect b="11170"/>
        <a:stretch>
          <a:fillRect/>
        </a:stretch>
      </xdr:blipFill>
      <xdr:spPr>
        <a:xfrm>
          <a:off x="151706580" y="187325"/>
          <a:ext cx="800100" cy="63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657B04A3D1524B0893FE71F715F714D8"/>
        <xdr:cNvPicPr>
          <a:picLocks noChangeAspect="1"/>
        </xdr:cNvPicPr>
      </xdr:nvPicPr>
      <xdr:blipFill>
        <a:blip r:embed="rId42"/>
        <a:srcRect b="18462"/>
        <a:stretch>
          <a:fillRect/>
        </a:stretch>
      </xdr:blipFill>
      <xdr:spPr>
        <a:xfrm>
          <a:off x="150368635" y="187325"/>
          <a:ext cx="638175" cy="572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4F8C8B606DFF462D869AC090FDEFB571"/>
        <xdr:cNvPicPr>
          <a:picLocks noChangeAspect="1"/>
        </xdr:cNvPicPr>
      </xdr:nvPicPr>
      <xdr:blipFill>
        <a:blip r:embed="rId43"/>
        <a:srcRect b="14842"/>
        <a:stretch>
          <a:fillRect/>
        </a:stretch>
      </xdr:blipFill>
      <xdr:spPr>
        <a:xfrm>
          <a:off x="149264370" y="187325"/>
          <a:ext cx="586740" cy="5975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8" name="ID_35055BE6FFB9460EA8F1035BC7E54020"/>
        <xdr:cNvPicPr>
          <a:picLocks noChangeAspect="1"/>
        </xdr:cNvPicPr>
      </xdr:nvPicPr>
      <xdr:blipFill>
        <a:blip r:embed="rId44"/>
        <a:srcRect l="-7379" t="-7964" b="43908"/>
        <a:stretch>
          <a:fillRect/>
        </a:stretch>
      </xdr:blipFill>
      <xdr:spPr>
        <a:xfrm>
          <a:off x="148088985" y="343535"/>
          <a:ext cx="535940" cy="447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89062C805F8146E7B9464DF360388CB9"/>
        <xdr:cNvPicPr>
          <a:picLocks noChangeAspect="1"/>
        </xdr:cNvPicPr>
      </xdr:nvPicPr>
      <xdr:blipFill>
        <a:blip r:embed="rId45"/>
        <a:srcRect b="13484"/>
        <a:stretch>
          <a:fillRect/>
        </a:stretch>
      </xdr:blipFill>
      <xdr:spPr>
        <a:xfrm>
          <a:off x="147074890" y="187325"/>
          <a:ext cx="539750" cy="607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0" name="ID_6A2D145441124A9A95C98E9B31DC690A"/>
        <xdr:cNvPicPr>
          <a:picLocks noChangeAspect="1"/>
        </xdr:cNvPicPr>
      </xdr:nvPicPr>
      <xdr:blipFill>
        <a:blip r:embed="rId46"/>
        <a:srcRect t="-14389" b="18824"/>
        <a:stretch>
          <a:fillRect/>
        </a:stretch>
      </xdr:blipFill>
      <xdr:spPr>
        <a:xfrm>
          <a:off x="145953480" y="346075"/>
          <a:ext cx="584835" cy="66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1" name="ID_1202DDBDA0A4403CA3F3A3C6DAE3E35C"/>
        <xdr:cNvPicPr>
          <a:picLocks noChangeAspect="1"/>
        </xdr:cNvPicPr>
      </xdr:nvPicPr>
      <xdr:blipFill>
        <a:blip r:embed="rId47"/>
        <a:srcRect b="8869"/>
        <a:stretch>
          <a:fillRect/>
        </a:stretch>
      </xdr:blipFill>
      <xdr:spPr>
        <a:xfrm>
          <a:off x="144590135" y="187325"/>
          <a:ext cx="775335" cy="639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2" name="ID_2016EB56EE914059A84F731FC1AC2142"/>
        <xdr:cNvPicPr>
          <a:picLocks noChangeAspect="1"/>
        </xdr:cNvPicPr>
      </xdr:nvPicPr>
      <xdr:blipFill>
        <a:blip r:embed="rId48"/>
        <a:srcRect b="15837"/>
        <a:stretch>
          <a:fillRect/>
        </a:stretch>
      </xdr:blipFill>
      <xdr:spPr>
        <a:xfrm>
          <a:off x="143137890" y="187325"/>
          <a:ext cx="683260" cy="59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866A6FDA2A3A463DA82749D687FEFF65"/>
        <xdr:cNvPicPr>
          <a:picLocks noChangeAspect="1"/>
        </xdr:cNvPicPr>
      </xdr:nvPicPr>
      <xdr:blipFill>
        <a:blip r:embed="rId49"/>
        <a:srcRect b="14480"/>
        <a:stretch>
          <a:fillRect/>
        </a:stretch>
      </xdr:blipFill>
      <xdr:spPr>
        <a:xfrm>
          <a:off x="142161895" y="187325"/>
          <a:ext cx="664845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584A2E64860F478EAD908BE9586C3F9E"/>
        <xdr:cNvPicPr>
          <a:picLocks noChangeAspect="1"/>
        </xdr:cNvPicPr>
      </xdr:nvPicPr>
      <xdr:blipFill>
        <a:blip r:embed="rId50"/>
        <a:srcRect b="16471"/>
        <a:stretch>
          <a:fillRect/>
        </a:stretch>
      </xdr:blipFill>
      <xdr:spPr>
        <a:xfrm>
          <a:off x="140502640" y="187325"/>
          <a:ext cx="777240" cy="586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5" name="ID_4E78E530073F47AE87B391D255FB9E52"/>
        <xdr:cNvPicPr>
          <a:picLocks noChangeAspect="1"/>
        </xdr:cNvPicPr>
      </xdr:nvPicPr>
      <xdr:blipFill>
        <a:blip r:embed="rId51"/>
        <a:srcRect b="17104"/>
        <a:stretch>
          <a:fillRect/>
        </a:stretch>
      </xdr:blipFill>
      <xdr:spPr>
        <a:xfrm>
          <a:off x="138919585" y="187325"/>
          <a:ext cx="785495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6" name="ID_C29896081C324C19971BE24658353F02"/>
        <xdr:cNvPicPr>
          <a:picLocks noChangeAspect="1"/>
        </xdr:cNvPicPr>
      </xdr:nvPicPr>
      <xdr:blipFill>
        <a:blip r:embed="rId52"/>
        <a:srcRect b="9864"/>
        <a:stretch>
          <a:fillRect/>
        </a:stretch>
      </xdr:blipFill>
      <xdr:spPr>
        <a:xfrm>
          <a:off x="137290810" y="187325"/>
          <a:ext cx="754380" cy="632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7" name="ID_D6682415ACF24FCB97E9A16253170F80"/>
        <xdr:cNvPicPr>
          <a:picLocks noChangeAspect="1"/>
        </xdr:cNvPicPr>
      </xdr:nvPicPr>
      <xdr:blipFill>
        <a:blip r:embed="rId53"/>
        <a:srcRect b="10860"/>
        <a:stretch>
          <a:fillRect/>
        </a:stretch>
      </xdr:blipFill>
      <xdr:spPr>
        <a:xfrm>
          <a:off x="135916670" y="187325"/>
          <a:ext cx="677545" cy="625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" name="ID_3FF688146B3F41EDA235653C47AAAD03"/>
        <xdr:cNvPicPr>
          <a:picLocks noChangeAspect="1"/>
        </xdr:cNvPicPr>
      </xdr:nvPicPr>
      <xdr:blipFill>
        <a:blip r:embed="rId54"/>
        <a:srcRect b="8235"/>
        <a:stretch>
          <a:fillRect/>
        </a:stretch>
      </xdr:blipFill>
      <xdr:spPr>
        <a:xfrm>
          <a:off x="134921625" y="187325"/>
          <a:ext cx="445770" cy="6438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9" name="ID_C6F332A087814E92A09B40FA4C28BB1F"/>
        <xdr:cNvPicPr>
          <a:picLocks noChangeAspect="1"/>
        </xdr:cNvPicPr>
      </xdr:nvPicPr>
      <xdr:blipFill>
        <a:blip r:embed="rId55"/>
        <a:srcRect b="10226"/>
        <a:stretch>
          <a:fillRect/>
        </a:stretch>
      </xdr:blipFill>
      <xdr:spPr>
        <a:xfrm>
          <a:off x="133768465" y="187325"/>
          <a:ext cx="627380" cy="629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" name="ID_C8820FDF7E4D46959E96AF53ECEA7C4C"/>
        <xdr:cNvPicPr>
          <a:picLocks noChangeAspect="1"/>
        </xdr:cNvPicPr>
      </xdr:nvPicPr>
      <xdr:blipFill>
        <a:blip r:embed="rId56"/>
        <a:srcRect b="16109"/>
        <a:stretch>
          <a:fillRect/>
        </a:stretch>
      </xdr:blipFill>
      <xdr:spPr>
        <a:xfrm>
          <a:off x="132613400" y="187325"/>
          <a:ext cx="571500" cy="588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1" name="ID_CCBB127D4A354367AACEFCAF4436B07E"/>
        <xdr:cNvPicPr>
          <a:picLocks noChangeAspect="1"/>
        </xdr:cNvPicPr>
      </xdr:nvPicPr>
      <xdr:blipFill>
        <a:blip r:embed="rId57"/>
        <a:srcRect t="-16742" b="22898"/>
        <a:stretch>
          <a:fillRect/>
        </a:stretch>
      </xdr:blipFill>
      <xdr:spPr>
        <a:xfrm>
          <a:off x="131476115" y="378460"/>
          <a:ext cx="565785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2" name="ID_3A3838C610334ACAB6A81ACD69E5011C"/>
        <xdr:cNvPicPr>
          <a:picLocks noChangeAspect="1"/>
        </xdr:cNvPicPr>
      </xdr:nvPicPr>
      <xdr:blipFill>
        <a:blip r:embed="rId58"/>
        <a:srcRect b="14480"/>
        <a:stretch>
          <a:fillRect/>
        </a:stretch>
      </xdr:blipFill>
      <xdr:spPr>
        <a:xfrm>
          <a:off x="130441700" y="187325"/>
          <a:ext cx="518160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3" name="ID_30C58B6858E4490D90B134C2E92A9915"/>
        <xdr:cNvPicPr>
          <a:picLocks noChangeAspect="1"/>
        </xdr:cNvPicPr>
      </xdr:nvPicPr>
      <xdr:blipFill>
        <a:blip r:embed="rId59"/>
        <a:srcRect b="17828"/>
        <a:stretch>
          <a:fillRect/>
        </a:stretch>
      </xdr:blipFill>
      <xdr:spPr>
        <a:xfrm>
          <a:off x="129044700" y="187325"/>
          <a:ext cx="768985" cy="57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4" name="ID_CE3AF374AAE44EACA4A063AE4C2B9583"/>
        <xdr:cNvPicPr>
          <a:picLocks noChangeAspect="1"/>
        </xdr:cNvPicPr>
      </xdr:nvPicPr>
      <xdr:blipFill>
        <a:blip r:embed="rId60"/>
        <a:srcRect b="14118"/>
        <a:stretch>
          <a:fillRect/>
        </a:stretch>
      </xdr:blipFill>
      <xdr:spPr>
        <a:xfrm>
          <a:off x="127537845" y="187325"/>
          <a:ext cx="764540" cy="602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5" name="ID_11C245C38B864E85A128AB553E8F61D5"/>
        <xdr:cNvPicPr>
          <a:picLocks noChangeAspect="1"/>
        </xdr:cNvPicPr>
      </xdr:nvPicPr>
      <xdr:blipFill>
        <a:blip r:embed="rId61"/>
        <a:srcRect b="8778"/>
        <a:stretch>
          <a:fillRect/>
        </a:stretch>
      </xdr:blipFill>
      <xdr:spPr>
        <a:xfrm>
          <a:off x="126318645" y="186690"/>
          <a:ext cx="568325" cy="640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6" name="ID_F3DB64080FF94505BB087B7097ED21F2"/>
        <xdr:cNvPicPr>
          <a:picLocks noChangeAspect="1"/>
        </xdr:cNvPicPr>
      </xdr:nvPicPr>
      <xdr:blipFill>
        <a:blip r:embed="rId62"/>
        <a:srcRect b="11131"/>
        <a:stretch>
          <a:fillRect/>
        </a:stretch>
      </xdr:blipFill>
      <xdr:spPr>
        <a:xfrm>
          <a:off x="125015625" y="187325"/>
          <a:ext cx="689610" cy="623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098F66EF75914A3C9A2BBEC0691498B1"/>
        <xdr:cNvPicPr>
          <a:picLocks noChangeAspect="1"/>
        </xdr:cNvPicPr>
      </xdr:nvPicPr>
      <xdr:blipFill>
        <a:blip r:embed="rId63"/>
        <a:srcRect b="18824"/>
        <a:stretch>
          <a:fillRect/>
        </a:stretch>
      </xdr:blipFill>
      <xdr:spPr>
        <a:xfrm>
          <a:off x="123499880" y="187325"/>
          <a:ext cx="794385" cy="569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" name="ID_B5CC5616A31D4B039EA977850ED098A3"/>
        <xdr:cNvPicPr>
          <a:picLocks noChangeAspect="1"/>
        </xdr:cNvPicPr>
      </xdr:nvPicPr>
      <xdr:blipFill>
        <a:blip r:embed="rId64"/>
        <a:srcRect r="1376" b="16471"/>
        <a:stretch>
          <a:fillRect/>
        </a:stretch>
      </xdr:blipFill>
      <xdr:spPr>
        <a:xfrm>
          <a:off x="121892695" y="187325"/>
          <a:ext cx="822960" cy="586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969BB6BE728142A59F2A5FFA5EE6FBE2"/>
        <xdr:cNvPicPr>
          <a:picLocks noChangeAspect="1"/>
        </xdr:cNvPicPr>
      </xdr:nvPicPr>
      <xdr:blipFill>
        <a:blip r:embed="rId65"/>
        <a:srcRect b="18824"/>
        <a:stretch>
          <a:fillRect/>
        </a:stretch>
      </xdr:blipFill>
      <xdr:spPr>
        <a:xfrm>
          <a:off x="120518555" y="187325"/>
          <a:ext cx="718820" cy="569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" name="ID_31AC445B7B504CA6AB4F48395B813C33"/>
        <xdr:cNvPicPr>
          <a:picLocks noChangeAspect="1"/>
        </xdr:cNvPicPr>
      </xdr:nvPicPr>
      <xdr:blipFill>
        <a:blip r:embed="rId66"/>
        <a:srcRect b="10689"/>
        <a:stretch>
          <a:fillRect/>
        </a:stretch>
      </xdr:blipFill>
      <xdr:spPr>
        <a:xfrm>
          <a:off x="118990110" y="189230"/>
          <a:ext cx="724535" cy="6369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1" name="ID_C617A569985E43889265051834BA31DE"/>
        <xdr:cNvPicPr>
          <a:picLocks noChangeAspect="1"/>
        </xdr:cNvPicPr>
      </xdr:nvPicPr>
      <xdr:blipFill>
        <a:blip r:embed="rId67"/>
        <a:srcRect b="18100"/>
        <a:stretch>
          <a:fillRect/>
        </a:stretch>
      </xdr:blipFill>
      <xdr:spPr>
        <a:xfrm>
          <a:off x="117759480" y="187325"/>
          <a:ext cx="596265" cy="574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3" name="ID_ED5A57B927094442B1BC6F592ECCA5A1"/>
        <xdr:cNvPicPr>
          <a:picLocks noChangeAspect="1"/>
        </xdr:cNvPicPr>
      </xdr:nvPicPr>
      <xdr:blipFill>
        <a:blip r:embed="rId68"/>
        <a:srcRect b="36199"/>
        <a:stretch>
          <a:fillRect/>
        </a:stretch>
      </xdr:blipFill>
      <xdr:spPr>
        <a:xfrm>
          <a:off x="116723160" y="267970"/>
          <a:ext cx="498475" cy="447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4" name="ID_9084EFDDF1C34B03872C8B5B4B4A3F68"/>
        <xdr:cNvPicPr>
          <a:picLocks noChangeAspect="1"/>
        </xdr:cNvPicPr>
      </xdr:nvPicPr>
      <xdr:blipFill>
        <a:blip r:embed="rId69"/>
        <a:srcRect b="17104"/>
        <a:stretch>
          <a:fillRect/>
        </a:stretch>
      </xdr:blipFill>
      <xdr:spPr>
        <a:xfrm>
          <a:off x="115164235" y="187325"/>
          <a:ext cx="885825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5" name="ID_4D2179F768DD4382806B88F56A44836C"/>
        <xdr:cNvPicPr>
          <a:picLocks noChangeAspect="1"/>
        </xdr:cNvPicPr>
      </xdr:nvPicPr>
      <xdr:blipFill>
        <a:blip r:embed="rId70"/>
        <a:srcRect b="29321"/>
        <a:stretch>
          <a:fillRect/>
        </a:stretch>
      </xdr:blipFill>
      <xdr:spPr>
        <a:xfrm>
          <a:off x="113241455" y="186690"/>
          <a:ext cx="1005205" cy="4959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6" name="ID_E615A4C3AE3048BF9819C9139EBF28F2"/>
        <xdr:cNvPicPr>
          <a:picLocks noChangeAspect="1"/>
        </xdr:cNvPicPr>
      </xdr:nvPicPr>
      <xdr:blipFill>
        <a:blip r:embed="rId71"/>
        <a:srcRect b="8869"/>
        <a:stretch>
          <a:fillRect/>
        </a:stretch>
      </xdr:blipFill>
      <xdr:spPr>
        <a:xfrm>
          <a:off x="111928910" y="187325"/>
          <a:ext cx="555625" cy="6394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8" name="ID_99F70B6E2047459FA3725FEA6B549ABA"/>
        <xdr:cNvPicPr>
          <a:picLocks noChangeAspect="1"/>
        </xdr:cNvPicPr>
      </xdr:nvPicPr>
      <xdr:blipFill>
        <a:blip r:embed="rId72"/>
        <a:srcRect b="13196"/>
        <a:stretch>
          <a:fillRect/>
        </a:stretch>
      </xdr:blipFill>
      <xdr:spPr>
        <a:xfrm>
          <a:off x="110470950" y="187325"/>
          <a:ext cx="798195" cy="6165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9" name="ID_65E6D30952524B0D8512ED007E6F1665"/>
        <xdr:cNvPicPr>
          <a:picLocks noChangeAspect="1"/>
        </xdr:cNvPicPr>
      </xdr:nvPicPr>
      <xdr:blipFill>
        <a:blip r:embed="rId73"/>
        <a:srcRect b="13846"/>
        <a:stretch>
          <a:fillRect/>
        </a:stretch>
      </xdr:blipFill>
      <xdr:spPr>
        <a:xfrm>
          <a:off x="109111415" y="187325"/>
          <a:ext cx="653415" cy="604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0" name="ID_93B3B0F37A1048309EE1D84D9C7E3D43"/>
        <xdr:cNvPicPr>
          <a:picLocks noChangeAspect="1"/>
        </xdr:cNvPicPr>
      </xdr:nvPicPr>
      <xdr:blipFill>
        <a:blip r:embed="rId74"/>
        <a:srcRect b="14480"/>
        <a:stretch>
          <a:fillRect/>
        </a:stretch>
      </xdr:blipFill>
      <xdr:spPr>
        <a:xfrm>
          <a:off x="107355005" y="193675"/>
          <a:ext cx="974725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1" name="ID_4BAF2CF543EC42D2B3DB9EADFAC4E975"/>
        <xdr:cNvPicPr>
          <a:picLocks noChangeAspect="1"/>
        </xdr:cNvPicPr>
      </xdr:nvPicPr>
      <xdr:blipFill>
        <a:blip r:embed="rId75"/>
        <a:srcRect b="14480"/>
        <a:stretch>
          <a:fillRect/>
        </a:stretch>
      </xdr:blipFill>
      <xdr:spPr>
        <a:xfrm>
          <a:off x="106059605" y="187325"/>
          <a:ext cx="668020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A42560E30A544E7AB35C0E4F8D9D1E4A"/>
        <xdr:cNvPicPr>
          <a:picLocks noChangeAspect="1"/>
        </xdr:cNvPicPr>
      </xdr:nvPicPr>
      <xdr:blipFill>
        <a:blip r:embed="rId76"/>
        <a:srcRect b="17104"/>
        <a:stretch>
          <a:fillRect/>
        </a:stretch>
      </xdr:blipFill>
      <xdr:spPr>
        <a:xfrm>
          <a:off x="104729280" y="187325"/>
          <a:ext cx="555625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" name="ID_458B6092B6264016B86E837833BB3591"/>
        <xdr:cNvPicPr>
          <a:picLocks noChangeAspect="1"/>
        </xdr:cNvPicPr>
      </xdr:nvPicPr>
      <xdr:blipFill>
        <a:blip r:embed="rId77"/>
        <a:srcRect b="16380"/>
        <a:stretch>
          <a:fillRect/>
        </a:stretch>
      </xdr:blipFill>
      <xdr:spPr>
        <a:xfrm>
          <a:off x="103663115" y="186690"/>
          <a:ext cx="533400" cy="586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4" name="ID_697D05915B4943B1845BAA23BA6F35DC"/>
        <xdr:cNvPicPr>
          <a:picLocks noChangeAspect="1"/>
        </xdr:cNvPicPr>
      </xdr:nvPicPr>
      <xdr:blipFill>
        <a:blip r:embed="rId78"/>
        <a:srcRect b="19457"/>
        <a:stretch>
          <a:fillRect/>
        </a:stretch>
      </xdr:blipFill>
      <xdr:spPr>
        <a:xfrm>
          <a:off x="102180390" y="187325"/>
          <a:ext cx="822960" cy="56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" name="ID_512A22E65CD84911B74DF660A719F0EC"/>
        <xdr:cNvPicPr>
          <a:picLocks noChangeAspect="1"/>
        </xdr:cNvPicPr>
      </xdr:nvPicPr>
      <xdr:blipFill>
        <a:blip r:embed="rId79"/>
        <a:srcRect b="15113"/>
        <a:stretch>
          <a:fillRect/>
        </a:stretch>
      </xdr:blipFill>
      <xdr:spPr>
        <a:xfrm>
          <a:off x="100608765" y="187325"/>
          <a:ext cx="789305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6" name="ID_BD81CB0B18E543FE96E9F48C57904BE5"/>
        <xdr:cNvPicPr>
          <a:picLocks noChangeAspect="1"/>
        </xdr:cNvPicPr>
      </xdr:nvPicPr>
      <xdr:blipFill>
        <a:blip r:embed="rId80"/>
        <a:srcRect b="21086"/>
        <a:stretch>
          <a:fillRect/>
        </a:stretch>
      </xdr:blipFill>
      <xdr:spPr>
        <a:xfrm>
          <a:off x="99334320" y="187325"/>
          <a:ext cx="598170" cy="553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7" name="ID_5F23011BC5764EB396F99DFA5CA7F5E8"/>
        <xdr:cNvPicPr>
          <a:picLocks noChangeAspect="1"/>
        </xdr:cNvPicPr>
      </xdr:nvPicPr>
      <xdr:blipFill>
        <a:blip r:embed="rId81"/>
        <a:srcRect b="16471"/>
        <a:stretch>
          <a:fillRect/>
        </a:stretch>
      </xdr:blipFill>
      <xdr:spPr>
        <a:xfrm>
          <a:off x="97922715" y="187325"/>
          <a:ext cx="753745" cy="586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8" name="ID_9C67CFE431264059BDF31B0C328671FB"/>
        <xdr:cNvPicPr>
          <a:picLocks noChangeAspect="1"/>
        </xdr:cNvPicPr>
      </xdr:nvPicPr>
      <xdr:blipFill>
        <a:blip r:embed="rId82"/>
        <a:srcRect b="15113"/>
        <a:stretch>
          <a:fillRect/>
        </a:stretch>
      </xdr:blipFill>
      <xdr:spPr>
        <a:xfrm>
          <a:off x="96836230" y="187325"/>
          <a:ext cx="482600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9" name="ID_899D356E01D2412D871BAB42F10A5632"/>
        <xdr:cNvPicPr>
          <a:picLocks noChangeAspect="1"/>
        </xdr:cNvPicPr>
      </xdr:nvPicPr>
      <xdr:blipFill>
        <a:blip r:embed="rId83"/>
        <a:srcRect b="12851"/>
        <a:stretch>
          <a:fillRect/>
        </a:stretch>
      </xdr:blipFill>
      <xdr:spPr>
        <a:xfrm>
          <a:off x="95548450" y="187325"/>
          <a:ext cx="706755" cy="6115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0" name="ID_4D5AF64C1C494A3A895B7F3B3703CEB4"/>
        <xdr:cNvPicPr>
          <a:picLocks noChangeAspect="1"/>
        </xdr:cNvPicPr>
      </xdr:nvPicPr>
      <xdr:blipFill>
        <a:blip r:embed="rId84"/>
        <a:srcRect t="5249" b="15113"/>
        <a:stretch>
          <a:fillRect/>
        </a:stretch>
      </xdr:blipFill>
      <xdr:spPr>
        <a:xfrm>
          <a:off x="94042230" y="222885"/>
          <a:ext cx="781050" cy="558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1" name="ID_CCF8EE601DFA4D4FBFE1355B9A2B400C"/>
        <xdr:cNvPicPr>
          <a:picLocks noChangeAspect="1"/>
        </xdr:cNvPicPr>
      </xdr:nvPicPr>
      <xdr:blipFill>
        <a:blip r:embed="rId85"/>
        <a:srcRect b="16471"/>
        <a:stretch>
          <a:fillRect/>
        </a:stretch>
      </xdr:blipFill>
      <xdr:spPr>
        <a:xfrm>
          <a:off x="92790645" y="187325"/>
          <a:ext cx="586740" cy="5861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2" name="ID_85DC9036C4394C518A55C9140C475592"/>
        <xdr:cNvPicPr>
          <a:picLocks noChangeAspect="1"/>
        </xdr:cNvPicPr>
      </xdr:nvPicPr>
      <xdr:blipFill>
        <a:blip r:embed="rId86"/>
        <a:srcRect b="17104"/>
        <a:stretch>
          <a:fillRect/>
        </a:stretch>
      </xdr:blipFill>
      <xdr:spPr>
        <a:xfrm>
          <a:off x="91514930" y="187325"/>
          <a:ext cx="666115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3" name="ID_D9883681D32046C2A2CD6A958DE4B9C9"/>
        <xdr:cNvPicPr>
          <a:picLocks noChangeAspect="1"/>
        </xdr:cNvPicPr>
      </xdr:nvPicPr>
      <xdr:blipFill>
        <a:blip r:embed="rId87"/>
        <a:srcRect b="16109"/>
        <a:stretch>
          <a:fillRect/>
        </a:stretch>
      </xdr:blipFill>
      <xdr:spPr>
        <a:xfrm>
          <a:off x="90260805" y="187325"/>
          <a:ext cx="624840" cy="588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4" name="ID_0859C2C13F584ED78E647C4783FAA090"/>
        <xdr:cNvPicPr>
          <a:picLocks noChangeAspect="1"/>
        </xdr:cNvPicPr>
      </xdr:nvPicPr>
      <xdr:blipFill>
        <a:blip r:embed="rId88"/>
        <a:srcRect b="14842"/>
        <a:stretch>
          <a:fillRect/>
        </a:stretch>
      </xdr:blipFill>
      <xdr:spPr>
        <a:xfrm>
          <a:off x="88919050" y="187325"/>
          <a:ext cx="695960" cy="5975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5" name="ID_C96726CCAB7142579F69336396D680C9"/>
        <xdr:cNvPicPr>
          <a:picLocks noChangeAspect="1"/>
        </xdr:cNvPicPr>
      </xdr:nvPicPr>
      <xdr:blipFill>
        <a:blip r:embed="rId89"/>
        <a:srcRect b="19457"/>
        <a:stretch>
          <a:fillRect/>
        </a:stretch>
      </xdr:blipFill>
      <xdr:spPr>
        <a:xfrm>
          <a:off x="87750650" y="187325"/>
          <a:ext cx="558165" cy="56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3A2BACDE0E0641B18CAE06A525E88C81"/>
        <xdr:cNvPicPr>
          <a:picLocks noChangeAspect="1"/>
        </xdr:cNvPicPr>
      </xdr:nvPicPr>
      <xdr:blipFill>
        <a:blip r:embed="rId90"/>
        <a:srcRect b="9231"/>
        <a:stretch>
          <a:fillRect/>
        </a:stretch>
      </xdr:blipFill>
      <xdr:spPr>
        <a:xfrm>
          <a:off x="86416515" y="187325"/>
          <a:ext cx="713740" cy="6369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7" name="ID_C8940E00A1C84B3C924078339A8718A2"/>
        <xdr:cNvPicPr>
          <a:picLocks noChangeAspect="1"/>
        </xdr:cNvPicPr>
      </xdr:nvPicPr>
      <xdr:blipFill>
        <a:blip r:embed="rId91"/>
        <a:srcRect b="23348"/>
        <a:stretch>
          <a:fillRect/>
        </a:stretch>
      </xdr:blipFill>
      <xdr:spPr>
        <a:xfrm>
          <a:off x="84892515" y="186690"/>
          <a:ext cx="792480" cy="5378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ADCCF09FBBC14CA5A936217185916257"/>
        <xdr:cNvPicPr>
          <a:picLocks noChangeAspect="1"/>
        </xdr:cNvPicPr>
      </xdr:nvPicPr>
      <xdr:blipFill>
        <a:blip r:embed="rId92"/>
        <a:srcRect b="16109"/>
        <a:stretch>
          <a:fillRect/>
        </a:stretch>
      </xdr:blipFill>
      <xdr:spPr>
        <a:xfrm>
          <a:off x="83557110" y="187325"/>
          <a:ext cx="638810" cy="588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9" name="ID_F3761F0E79D1478FA94F38B6AF242416"/>
        <xdr:cNvPicPr>
          <a:picLocks noChangeAspect="1"/>
        </xdr:cNvPicPr>
      </xdr:nvPicPr>
      <xdr:blipFill>
        <a:blip r:embed="rId93"/>
        <a:srcRect b="23077"/>
        <a:stretch>
          <a:fillRect/>
        </a:stretch>
      </xdr:blipFill>
      <xdr:spPr>
        <a:xfrm>
          <a:off x="82461100" y="187325"/>
          <a:ext cx="527050" cy="53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0" name="ID_83D5C16C33F74EABA7BB95548CC6F1C1"/>
        <xdr:cNvPicPr>
          <a:picLocks noChangeAspect="1"/>
        </xdr:cNvPicPr>
      </xdr:nvPicPr>
      <xdr:blipFill>
        <a:blip r:embed="rId94"/>
        <a:srcRect b="19819"/>
        <a:stretch>
          <a:fillRect/>
        </a:stretch>
      </xdr:blipFill>
      <xdr:spPr>
        <a:xfrm>
          <a:off x="81386045" y="187325"/>
          <a:ext cx="548005" cy="562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1" name="ID_CA28836DA3194FC494077350697E116B"/>
        <xdr:cNvPicPr>
          <a:picLocks noChangeAspect="1"/>
        </xdr:cNvPicPr>
      </xdr:nvPicPr>
      <xdr:blipFill>
        <a:blip r:embed="rId95"/>
        <a:srcRect b="15113"/>
        <a:stretch>
          <a:fillRect/>
        </a:stretch>
      </xdr:blipFill>
      <xdr:spPr>
        <a:xfrm>
          <a:off x="80432275" y="187325"/>
          <a:ext cx="459740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2" name="ID_479A744B1FA64E38B1630C080D280642"/>
        <xdr:cNvPicPr>
          <a:picLocks noChangeAspect="1"/>
        </xdr:cNvPicPr>
      </xdr:nvPicPr>
      <xdr:blipFill>
        <a:blip r:embed="rId96"/>
        <a:srcRect b="15475"/>
        <a:stretch>
          <a:fillRect/>
        </a:stretch>
      </xdr:blipFill>
      <xdr:spPr>
        <a:xfrm>
          <a:off x="79443580" y="187325"/>
          <a:ext cx="511175" cy="593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3" name="ID_8A06D94AB0BF4AA8A68B5E9220B04BA2"/>
        <xdr:cNvPicPr>
          <a:picLocks noChangeAspect="1"/>
        </xdr:cNvPicPr>
      </xdr:nvPicPr>
      <xdr:blipFill>
        <a:blip r:embed="rId97"/>
        <a:srcRect b="17466"/>
        <a:stretch>
          <a:fillRect/>
        </a:stretch>
      </xdr:blipFill>
      <xdr:spPr>
        <a:xfrm>
          <a:off x="78525370" y="187325"/>
          <a:ext cx="447675" cy="579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4" name="ID_6076C4FDBB604F60806703A6CEB76D39"/>
        <xdr:cNvPicPr>
          <a:picLocks noChangeAspect="1"/>
        </xdr:cNvPicPr>
      </xdr:nvPicPr>
      <xdr:blipFill>
        <a:blip r:embed="rId98"/>
        <a:srcRect b="16109"/>
        <a:stretch>
          <a:fillRect/>
        </a:stretch>
      </xdr:blipFill>
      <xdr:spPr>
        <a:xfrm>
          <a:off x="77286485" y="187325"/>
          <a:ext cx="684530" cy="588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5" name="ID_6CC182AD5A7D42BB9DE42471465D4D65"/>
        <xdr:cNvPicPr>
          <a:picLocks noChangeAspect="1"/>
        </xdr:cNvPicPr>
      </xdr:nvPicPr>
      <xdr:blipFill>
        <a:blip r:embed="rId99"/>
        <a:srcRect b="16109"/>
        <a:stretch>
          <a:fillRect/>
        </a:stretch>
      </xdr:blipFill>
      <xdr:spPr>
        <a:xfrm>
          <a:off x="76123800" y="187325"/>
          <a:ext cx="557530" cy="588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6" name="ID_63BD4E3F0C9644CAB31B0530F30D6595"/>
        <xdr:cNvPicPr>
          <a:picLocks noChangeAspect="1"/>
        </xdr:cNvPicPr>
      </xdr:nvPicPr>
      <xdr:blipFill>
        <a:blip r:embed="rId100"/>
        <a:srcRect b="10498"/>
        <a:stretch>
          <a:fillRect/>
        </a:stretch>
      </xdr:blipFill>
      <xdr:spPr>
        <a:xfrm>
          <a:off x="74922380" y="187325"/>
          <a:ext cx="624205" cy="6280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7" name="ID_12C8D4A6C38D4CF0B5527698AF4A3B9D"/>
        <xdr:cNvPicPr>
          <a:picLocks noChangeAspect="1"/>
        </xdr:cNvPicPr>
      </xdr:nvPicPr>
      <xdr:blipFill>
        <a:blip r:embed="rId101"/>
        <a:srcRect b="15113"/>
        <a:stretch>
          <a:fillRect/>
        </a:stretch>
      </xdr:blipFill>
      <xdr:spPr>
        <a:xfrm>
          <a:off x="73762235" y="187325"/>
          <a:ext cx="574040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8" name="ID_E3145946D6C745BEB5DA28F7583DEB01"/>
        <xdr:cNvPicPr>
          <a:picLocks noChangeAspect="1"/>
        </xdr:cNvPicPr>
      </xdr:nvPicPr>
      <xdr:blipFill>
        <a:blip r:embed="rId102"/>
        <a:srcRect b="14480"/>
        <a:stretch>
          <a:fillRect/>
        </a:stretch>
      </xdr:blipFill>
      <xdr:spPr>
        <a:xfrm>
          <a:off x="72383650" y="187325"/>
          <a:ext cx="740410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9" name="ID_FA34E6AD48294C1DA98BAA7679658D09"/>
        <xdr:cNvPicPr>
          <a:picLocks noChangeAspect="1"/>
        </xdr:cNvPicPr>
      </xdr:nvPicPr>
      <xdr:blipFill>
        <a:blip r:embed="rId103"/>
        <a:srcRect b="17104"/>
        <a:stretch>
          <a:fillRect/>
        </a:stretch>
      </xdr:blipFill>
      <xdr:spPr>
        <a:xfrm>
          <a:off x="71029195" y="187325"/>
          <a:ext cx="668020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0" name="ID_52A487FAC20544168AAFC99841413586"/>
        <xdr:cNvPicPr>
          <a:picLocks noChangeAspect="1"/>
        </xdr:cNvPicPr>
      </xdr:nvPicPr>
      <xdr:blipFill>
        <a:blip r:embed="rId104"/>
        <a:srcRect b="23439"/>
        <a:stretch>
          <a:fillRect/>
        </a:stretch>
      </xdr:blipFill>
      <xdr:spPr>
        <a:xfrm>
          <a:off x="69811265" y="187325"/>
          <a:ext cx="600075" cy="5372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1" name="ID_EF7BC81718A14A27BB30CE267213C262"/>
        <xdr:cNvPicPr>
          <a:picLocks noChangeAspect="1"/>
        </xdr:cNvPicPr>
      </xdr:nvPicPr>
      <xdr:blipFill>
        <a:blip r:embed="rId105"/>
        <a:srcRect b="16109"/>
        <a:stretch>
          <a:fillRect/>
        </a:stretch>
      </xdr:blipFill>
      <xdr:spPr>
        <a:xfrm>
          <a:off x="68402835" y="187325"/>
          <a:ext cx="750570" cy="588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2" name="ID_F7267D69236745B9BC78615521520585"/>
        <xdr:cNvPicPr>
          <a:picLocks noChangeAspect="1"/>
        </xdr:cNvPicPr>
      </xdr:nvPicPr>
      <xdr:blipFill>
        <a:blip r:embed="rId106"/>
        <a:srcRect b="16833"/>
        <a:stretch>
          <a:fillRect/>
        </a:stretch>
      </xdr:blipFill>
      <xdr:spPr>
        <a:xfrm>
          <a:off x="67022345" y="187325"/>
          <a:ext cx="684530" cy="5835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3" name="ID_C44AB04FCDC044A693F72EB6822097CA"/>
        <xdr:cNvPicPr>
          <a:picLocks noChangeAspect="1"/>
        </xdr:cNvPicPr>
      </xdr:nvPicPr>
      <xdr:blipFill>
        <a:blip r:embed="rId107"/>
        <a:srcRect b="30679"/>
        <a:stretch>
          <a:fillRect/>
        </a:stretch>
      </xdr:blipFill>
      <xdr:spPr>
        <a:xfrm>
          <a:off x="66171445" y="187325"/>
          <a:ext cx="414020" cy="486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4" name="ID_7C9D6A88C96E4513B2E2C3CB2D81318A"/>
        <xdr:cNvPicPr>
          <a:picLocks noChangeAspect="1"/>
        </xdr:cNvPicPr>
      </xdr:nvPicPr>
      <xdr:blipFill>
        <a:blip r:embed="rId108"/>
        <a:srcRect b="17104"/>
        <a:stretch>
          <a:fillRect/>
        </a:stretch>
      </xdr:blipFill>
      <xdr:spPr>
        <a:xfrm>
          <a:off x="65358010" y="187325"/>
          <a:ext cx="476250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5" name="ID_B749652387F14C2298667095107AAD19"/>
        <xdr:cNvPicPr>
          <a:picLocks noChangeAspect="1"/>
        </xdr:cNvPicPr>
      </xdr:nvPicPr>
      <xdr:blipFill>
        <a:blip r:embed="rId109"/>
        <a:srcRect b="9864"/>
        <a:stretch>
          <a:fillRect/>
        </a:stretch>
      </xdr:blipFill>
      <xdr:spPr>
        <a:xfrm>
          <a:off x="64188975" y="187325"/>
          <a:ext cx="628015" cy="632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7" name="ID_32962633284C40F1BBA844F1F3C282B9"/>
        <xdr:cNvPicPr>
          <a:picLocks noChangeAspect="1"/>
        </xdr:cNvPicPr>
      </xdr:nvPicPr>
      <xdr:blipFill>
        <a:blip r:embed="rId110"/>
        <a:srcRect b="21448"/>
        <a:stretch>
          <a:fillRect/>
        </a:stretch>
      </xdr:blipFill>
      <xdr:spPr>
        <a:xfrm>
          <a:off x="62510670" y="187325"/>
          <a:ext cx="498475" cy="551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8" name="ID_1259520B131C4C49B50B2C9E621B198F"/>
        <xdr:cNvPicPr>
          <a:picLocks noChangeAspect="1"/>
        </xdr:cNvPicPr>
      </xdr:nvPicPr>
      <xdr:blipFill>
        <a:blip r:embed="rId111"/>
        <a:srcRect l="-13957" t="-12211" b="32312"/>
        <a:stretch>
          <a:fillRect/>
        </a:stretch>
      </xdr:blipFill>
      <xdr:spPr>
        <a:xfrm>
          <a:off x="63279655" y="343535"/>
          <a:ext cx="534035" cy="563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9" name="ID_9E4A09A766274C8AB5A8212C36727160"/>
        <xdr:cNvPicPr>
          <a:picLocks noChangeAspect="1"/>
        </xdr:cNvPicPr>
      </xdr:nvPicPr>
      <xdr:blipFill>
        <a:blip r:embed="rId112"/>
        <a:srcRect b="13122"/>
        <a:stretch>
          <a:fillRect/>
        </a:stretch>
      </xdr:blipFill>
      <xdr:spPr>
        <a:xfrm>
          <a:off x="61147325" y="187325"/>
          <a:ext cx="753745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0" name="ID_FC65E0579550433E985EBC605AC4751F"/>
        <xdr:cNvPicPr>
          <a:picLocks noChangeAspect="1"/>
        </xdr:cNvPicPr>
      </xdr:nvPicPr>
      <xdr:blipFill>
        <a:blip r:embed="rId113"/>
        <a:srcRect b="16742"/>
        <a:stretch>
          <a:fillRect/>
        </a:stretch>
      </xdr:blipFill>
      <xdr:spPr>
        <a:xfrm>
          <a:off x="59616340" y="186690"/>
          <a:ext cx="783590" cy="58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1" name="ID_33D5E6C719C64E199670228778D887B8"/>
        <xdr:cNvPicPr>
          <a:picLocks noChangeAspect="1"/>
        </xdr:cNvPicPr>
      </xdr:nvPicPr>
      <xdr:blipFill>
        <a:blip r:embed="rId114"/>
        <a:srcRect b="13846"/>
        <a:stretch>
          <a:fillRect/>
        </a:stretch>
      </xdr:blipFill>
      <xdr:spPr>
        <a:xfrm>
          <a:off x="58515885" y="187325"/>
          <a:ext cx="482600" cy="604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2" name="ID_8011F20660344AF4BAE1C7A7C859ECF2"/>
        <xdr:cNvPicPr>
          <a:picLocks noChangeAspect="1"/>
        </xdr:cNvPicPr>
      </xdr:nvPicPr>
      <xdr:blipFill>
        <a:blip r:embed="rId115"/>
        <a:srcRect b="19819"/>
        <a:stretch>
          <a:fillRect/>
        </a:stretch>
      </xdr:blipFill>
      <xdr:spPr>
        <a:xfrm>
          <a:off x="57129680" y="187325"/>
          <a:ext cx="773430" cy="562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3" name="ID_FC593F724A064193AA93E2EA16CBA4C8"/>
        <xdr:cNvPicPr>
          <a:picLocks noChangeAspect="1"/>
        </xdr:cNvPicPr>
      </xdr:nvPicPr>
      <xdr:blipFill>
        <a:blip r:embed="rId116"/>
        <a:srcRect b="14118"/>
        <a:stretch>
          <a:fillRect/>
        </a:stretch>
      </xdr:blipFill>
      <xdr:spPr>
        <a:xfrm>
          <a:off x="55671085" y="187325"/>
          <a:ext cx="729615" cy="602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4" name="ID_2D0188B3A85A4BAB9352F38B577D3607"/>
        <xdr:cNvPicPr>
          <a:picLocks noChangeAspect="1"/>
        </xdr:cNvPicPr>
      </xdr:nvPicPr>
      <xdr:blipFill>
        <a:blip r:embed="rId117"/>
        <a:srcRect b="14118"/>
        <a:stretch>
          <a:fillRect/>
        </a:stretch>
      </xdr:blipFill>
      <xdr:spPr>
        <a:xfrm>
          <a:off x="54564915" y="187325"/>
          <a:ext cx="504190" cy="602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5" name="ID_4FCBC9C601BD49AD8E825C7DA4610026"/>
        <xdr:cNvPicPr>
          <a:picLocks noChangeAspect="1"/>
        </xdr:cNvPicPr>
      </xdr:nvPicPr>
      <xdr:blipFill>
        <a:blip r:embed="rId118"/>
        <a:srcRect b="14480"/>
        <a:stretch>
          <a:fillRect/>
        </a:stretch>
      </xdr:blipFill>
      <xdr:spPr>
        <a:xfrm>
          <a:off x="53589555" y="187325"/>
          <a:ext cx="487680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6" name="ID_6EC77221C104491799C1413C70E7A583"/>
        <xdr:cNvPicPr>
          <a:picLocks noChangeAspect="1"/>
        </xdr:cNvPicPr>
      </xdr:nvPicPr>
      <xdr:blipFill>
        <a:blip r:embed="rId119"/>
        <a:srcRect b="14480"/>
        <a:stretch>
          <a:fillRect/>
        </a:stretch>
      </xdr:blipFill>
      <xdr:spPr>
        <a:xfrm>
          <a:off x="52345590" y="187325"/>
          <a:ext cx="676275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7" name="ID_2981F84D76EB4250853F32B7292DEA1C"/>
        <xdr:cNvPicPr>
          <a:picLocks noChangeAspect="1"/>
        </xdr:cNvPicPr>
      </xdr:nvPicPr>
      <xdr:blipFill>
        <a:blip r:embed="rId120"/>
        <a:srcRect b="24344"/>
        <a:stretch>
          <a:fillRect/>
        </a:stretch>
      </xdr:blipFill>
      <xdr:spPr>
        <a:xfrm>
          <a:off x="51182905" y="186690"/>
          <a:ext cx="558800" cy="530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8" name="ID_6E66FC082C8E4018A5B677CD07AB695C"/>
        <xdr:cNvPicPr>
          <a:picLocks noChangeAspect="1"/>
        </xdr:cNvPicPr>
      </xdr:nvPicPr>
      <xdr:blipFill>
        <a:blip r:embed="rId121"/>
        <a:srcRect b="10498"/>
        <a:stretch>
          <a:fillRect/>
        </a:stretch>
      </xdr:blipFill>
      <xdr:spPr>
        <a:xfrm>
          <a:off x="50070385" y="187325"/>
          <a:ext cx="562610" cy="6280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9" name="ID_62B034FF3A4D447299173946028E0513"/>
        <xdr:cNvPicPr>
          <a:picLocks noChangeAspect="1"/>
        </xdr:cNvPicPr>
      </xdr:nvPicPr>
      <xdr:blipFill>
        <a:blip r:embed="rId122"/>
        <a:srcRect b="11493"/>
        <a:stretch>
          <a:fillRect/>
        </a:stretch>
      </xdr:blipFill>
      <xdr:spPr>
        <a:xfrm>
          <a:off x="48993425" y="187325"/>
          <a:ext cx="539115" cy="6210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0" name="ID_71F2F5BA54B54E65854A014C1B23D84F"/>
        <xdr:cNvPicPr>
          <a:picLocks noChangeAspect="1"/>
        </xdr:cNvPicPr>
      </xdr:nvPicPr>
      <xdr:blipFill>
        <a:blip r:embed="rId123"/>
        <a:srcRect b="12036"/>
        <a:stretch>
          <a:fillRect/>
        </a:stretch>
      </xdr:blipFill>
      <xdr:spPr>
        <a:xfrm>
          <a:off x="47637065" y="186690"/>
          <a:ext cx="735330" cy="617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1" name="ID_BE2C3BA430CD44A8AF2CF5981EB0696A"/>
        <xdr:cNvPicPr>
          <a:picLocks noChangeAspect="1"/>
        </xdr:cNvPicPr>
      </xdr:nvPicPr>
      <xdr:blipFill>
        <a:blip r:embed="rId124"/>
        <a:srcRect b="11131"/>
        <a:stretch>
          <a:fillRect/>
        </a:stretch>
      </xdr:blipFill>
      <xdr:spPr>
        <a:xfrm>
          <a:off x="46204505" y="187325"/>
          <a:ext cx="723900" cy="623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F6AE6978E83441D1B49AF8745B20E63F"/>
        <xdr:cNvPicPr>
          <a:picLocks noChangeAspect="1"/>
        </xdr:cNvPicPr>
      </xdr:nvPicPr>
      <xdr:blipFill>
        <a:blip r:embed="rId125"/>
        <a:srcRect b="24163"/>
        <a:stretch>
          <a:fillRect/>
        </a:stretch>
      </xdr:blipFill>
      <xdr:spPr>
        <a:xfrm>
          <a:off x="44771310" y="241300"/>
          <a:ext cx="726440" cy="5321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4" name="ID_60CD70D32CFE4FA5B3414CB2F24E5CD8"/>
        <xdr:cNvPicPr>
          <a:picLocks noChangeAspect="1"/>
        </xdr:cNvPicPr>
      </xdr:nvPicPr>
      <xdr:blipFill>
        <a:blip r:embed="rId126"/>
        <a:srcRect b="13846"/>
        <a:stretch>
          <a:fillRect/>
        </a:stretch>
      </xdr:blipFill>
      <xdr:spPr>
        <a:xfrm>
          <a:off x="43286045" y="187325"/>
          <a:ext cx="761365" cy="604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5" name="ID_79BEFCDB5E514F79AFA346EDEA4BF584"/>
        <xdr:cNvPicPr>
          <a:picLocks noChangeAspect="1"/>
        </xdr:cNvPicPr>
      </xdr:nvPicPr>
      <xdr:blipFill>
        <a:blip r:embed="rId127"/>
        <a:srcRect b="11131"/>
        <a:stretch>
          <a:fillRect/>
        </a:stretch>
      </xdr:blipFill>
      <xdr:spPr>
        <a:xfrm>
          <a:off x="42060495" y="187325"/>
          <a:ext cx="574675" cy="623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6" name="ID_5B7ACFC69B21487299724EC8CB20B4E4"/>
        <xdr:cNvPicPr>
          <a:picLocks noChangeAspect="1"/>
        </xdr:cNvPicPr>
      </xdr:nvPicPr>
      <xdr:blipFill>
        <a:blip r:embed="rId128"/>
        <a:srcRect b="26063"/>
        <a:stretch>
          <a:fillRect/>
        </a:stretch>
      </xdr:blipFill>
      <xdr:spPr>
        <a:xfrm>
          <a:off x="40649525" y="187325"/>
          <a:ext cx="761365" cy="5187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7" name="ID_C90CC6EB148F423C8F0FF9C0B96042CB"/>
        <xdr:cNvPicPr>
          <a:picLocks noChangeAspect="1"/>
        </xdr:cNvPicPr>
      </xdr:nvPicPr>
      <xdr:blipFill>
        <a:blip r:embed="rId129"/>
        <a:srcRect b="19819"/>
        <a:stretch>
          <a:fillRect/>
        </a:stretch>
      </xdr:blipFill>
      <xdr:spPr>
        <a:xfrm>
          <a:off x="39263320" y="187325"/>
          <a:ext cx="683260" cy="562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8" name="ID_BFF05F45327D473D84A23575EABBC871"/>
        <xdr:cNvPicPr>
          <a:picLocks noChangeAspect="1"/>
        </xdr:cNvPicPr>
      </xdr:nvPicPr>
      <xdr:blipFill>
        <a:blip r:embed="rId130"/>
        <a:srcRect b="18824"/>
        <a:stretch>
          <a:fillRect/>
        </a:stretch>
      </xdr:blipFill>
      <xdr:spPr>
        <a:xfrm>
          <a:off x="37862510" y="187325"/>
          <a:ext cx="718820" cy="569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9" name="ID_A775E279C8654B1CB343FED3A399DB41"/>
        <xdr:cNvPicPr>
          <a:picLocks noChangeAspect="1"/>
        </xdr:cNvPicPr>
      </xdr:nvPicPr>
      <xdr:blipFill>
        <a:blip r:embed="rId131"/>
        <a:srcRect b="17104"/>
        <a:stretch>
          <a:fillRect/>
        </a:stretch>
      </xdr:blipFill>
      <xdr:spPr>
        <a:xfrm>
          <a:off x="36748720" y="187325"/>
          <a:ext cx="513080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0" name="ID_C536292589F245BB9A9A734730DDC14C"/>
        <xdr:cNvPicPr>
          <a:picLocks noChangeAspect="1"/>
        </xdr:cNvPicPr>
      </xdr:nvPicPr>
      <xdr:blipFill>
        <a:blip r:embed="rId132"/>
        <a:srcRect b="15113"/>
        <a:stretch>
          <a:fillRect/>
        </a:stretch>
      </xdr:blipFill>
      <xdr:spPr>
        <a:xfrm>
          <a:off x="35731450" y="187325"/>
          <a:ext cx="513715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1" name="ID_E8AE24C6173E403D89FA935010DCBA9A"/>
        <xdr:cNvPicPr>
          <a:picLocks noChangeAspect="1"/>
        </xdr:cNvPicPr>
      </xdr:nvPicPr>
      <xdr:blipFill>
        <a:blip r:embed="rId133"/>
        <a:srcRect b="28688"/>
        <a:stretch>
          <a:fillRect/>
        </a:stretch>
      </xdr:blipFill>
      <xdr:spPr>
        <a:xfrm>
          <a:off x="34717355" y="187325"/>
          <a:ext cx="511175" cy="500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2" name="ID_3BB14ACE9C464DA4AE23E3CE1537670F"/>
        <xdr:cNvPicPr>
          <a:picLocks noChangeAspect="1"/>
        </xdr:cNvPicPr>
      </xdr:nvPicPr>
      <xdr:blipFill>
        <a:blip r:embed="rId134"/>
        <a:srcRect b="15475"/>
        <a:stretch>
          <a:fillRect/>
        </a:stretch>
      </xdr:blipFill>
      <xdr:spPr>
        <a:xfrm>
          <a:off x="33441005" y="187325"/>
          <a:ext cx="689610" cy="593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3" name="ID_812331B4110945E08F3D13C03408DF0E"/>
        <xdr:cNvPicPr>
          <a:picLocks noChangeAspect="1"/>
        </xdr:cNvPicPr>
      </xdr:nvPicPr>
      <xdr:blipFill>
        <a:blip r:embed="rId135"/>
        <a:srcRect b="15837"/>
        <a:stretch>
          <a:fillRect/>
        </a:stretch>
      </xdr:blipFill>
      <xdr:spPr>
        <a:xfrm>
          <a:off x="32576770" y="187325"/>
          <a:ext cx="419735" cy="59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4" name="ID_46D2CBABD6734A6BA8AC141764187A41"/>
        <xdr:cNvPicPr>
          <a:picLocks noChangeAspect="1"/>
        </xdr:cNvPicPr>
      </xdr:nvPicPr>
      <xdr:blipFill>
        <a:blip r:embed="rId136"/>
        <a:srcRect b="15475"/>
        <a:stretch>
          <a:fillRect/>
        </a:stretch>
      </xdr:blipFill>
      <xdr:spPr>
        <a:xfrm>
          <a:off x="31716980" y="187325"/>
          <a:ext cx="503555" cy="593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5" name="ID_E4B4D1207FAA439C99A9D4707010D5C0"/>
        <xdr:cNvPicPr>
          <a:picLocks noChangeAspect="1"/>
        </xdr:cNvPicPr>
      </xdr:nvPicPr>
      <xdr:blipFill>
        <a:blip r:embed="rId137"/>
        <a:srcRect b="11493"/>
        <a:stretch>
          <a:fillRect/>
        </a:stretch>
      </xdr:blipFill>
      <xdr:spPr>
        <a:xfrm>
          <a:off x="30394910" y="187325"/>
          <a:ext cx="723265" cy="6210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6" name="ID_B7C3747939EB44E48634026EBFFAE25A"/>
        <xdr:cNvPicPr>
          <a:picLocks noChangeAspect="1"/>
        </xdr:cNvPicPr>
      </xdr:nvPicPr>
      <xdr:blipFill>
        <a:blip r:embed="rId138"/>
        <a:srcRect b="12398"/>
        <a:stretch>
          <a:fillRect/>
        </a:stretch>
      </xdr:blipFill>
      <xdr:spPr>
        <a:xfrm>
          <a:off x="29111575" y="186690"/>
          <a:ext cx="626110" cy="614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7" name="ID_2CF0B53CAE1F4037B648829323115364"/>
        <xdr:cNvPicPr>
          <a:picLocks noChangeAspect="1"/>
        </xdr:cNvPicPr>
      </xdr:nvPicPr>
      <xdr:blipFill>
        <a:blip r:embed="rId139"/>
        <a:srcRect b="12036"/>
        <a:stretch>
          <a:fillRect/>
        </a:stretch>
      </xdr:blipFill>
      <xdr:spPr>
        <a:xfrm>
          <a:off x="27955240" y="186690"/>
          <a:ext cx="570230" cy="617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8" name="ID_2453FF5AA9E44A08975EC9288F2FAFEB"/>
        <xdr:cNvPicPr>
          <a:picLocks noChangeAspect="1"/>
        </xdr:cNvPicPr>
      </xdr:nvPicPr>
      <xdr:blipFill>
        <a:blip r:embed="rId140"/>
        <a:srcRect b="19819"/>
        <a:stretch>
          <a:fillRect/>
        </a:stretch>
      </xdr:blipFill>
      <xdr:spPr>
        <a:xfrm>
          <a:off x="26635075" y="187325"/>
          <a:ext cx="701675" cy="5626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9" name="ID_AF1B2DA2AF72445796C836FF0C3BB931"/>
        <xdr:cNvPicPr>
          <a:picLocks noChangeAspect="1"/>
        </xdr:cNvPicPr>
      </xdr:nvPicPr>
      <xdr:blipFill>
        <a:blip r:embed="rId141"/>
        <a:srcRect b="10860"/>
        <a:stretch>
          <a:fillRect/>
        </a:stretch>
      </xdr:blipFill>
      <xdr:spPr>
        <a:xfrm>
          <a:off x="25274905" y="187325"/>
          <a:ext cx="683895" cy="625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0" name="ID_FBF23BAE54AF490F91A36A1BDB20D2DF"/>
        <xdr:cNvPicPr>
          <a:picLocks noChangeAspect="1"/>
        </xdr:cNvPicPr>
      </xdr:nvPicPr>
      <xdr:blipFill>
        <a:blip r:embed="rId142"/>
        <a:srcRect b="10498"/>
        <a:stretch>
          <a:fillRect/>
        </a:stretch>
      </xdr:blipFill>
      <xdr:spPr>
        <a:xfrm>
          <a:off x="23823930" y="187325"/>
          <a:ext cx="751840" cy="6280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1" name="ID_F4FA85CF604541D0B709FC23C4127E35"/>
        <xdr:cNvPicPr>
          <a:picLocks noChangeAspect="1"/>
        </xdr:cNvPicPr>
      </xdr:nvPicPr>
      <xdr:blipFill>
        <a:blip r:embed="rId143"/>
        <a:srcRect b="26697"/>
        <a:stretch>
          <a:fillRect/>
        </a:stretch>
      </xdr:blipFill>
      <xdr:spPr>
        <a:xfrm>
          <a:off x="22717125" y="187325"/>
          <a:ext cx="49720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2" name="ID_C92999C64A1D40B5B89027439ED87231"/>
        <xdr:cNvPicPr>
          <a:picLocks noChangeAspect="1"/>
        </xdr:cNvPicPr>
      </xdr:nvPicPr>
      <xdr:blipFill>
        <a:blip r:embed="rId144"/>
        <a:srcRect b="10226"/>
        <a:stretch>
          <a:fillRect/>
        </a:stretch>
      </xdr:blipFill>
      <xdr:spPr>
        <a:xfrm>
          <a:off x="21791295" y="187325"/>
          <a:ext cx="456565" cy="629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3" name="ID_19DFAD60DCE04D0AA8429D43B9DC84A6"/>
        <xdr:cNvPicPr>
          <a:picLocks noChangeAspect="1"/>
        </xdr:cNvPicPr>
      </xdr:nvPicPr>
      <xdr:blipFill>
        <a:blip r:embed="rId145"/>
        <a:srcRect b="10860"/>
        <a:stretch>
          <a:fillRect/>
        </a:stretch>
      </xdr:blipFill>
      <xdr:spPr>
        <a:xfrm>
          <a:off x="20566380" y="187325"/>
          <a:ext cx="673735" cy="625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4" name="ID_15AABCCBE9D146A3939555B04681F642"/>
        <xdr:cNvPicPr>
          <a:picLocks noChangeAspect="1"/>
        </xdr:cNvPicPr>
      </xdr:nvPicPr>
      <xdr:blipFill>
        <a:blip r:embed="rId146"/>
        <a:srcRect b="15475"/>
        <a:stretch>
          <a:fillRect/>
        </a:stretch>
      </xdr:blipFill>
      <xdr:spPr>
        <a:xfrm>
          <a:off x="19170650" y="187325"/>
          <a:ext cx="717550" cy="593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5" name="ID_BF174D04461D4D4F997784707883D7E6"/>
        <xdr:cNvPicPr>
          <a:picLocks noChangeAspect="1"/>
        </xdr:cNvPicPr>
      </xdr:nvPicPr>
      <xdr:blipFill>
        <a:blip r:embed="rId147"/>
        <a:srcRect b="18462"/>
        <a:stretch>
          <a:fillRect/>
        </a:stretch>
      </xdr:blipFill>
      <xdr:spPr>
        <a:xfrm>
          <a:off x="17727930" y="187325"/>
          <a:ext cx="735965" cy="572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6" name="ID_E31C60CCD8794868A890205572B0E998"/>
        <xdr:cNvPicPr>
          <a:picLocks noChangeAspect="1"/>
        </xdr:cNvPicPr>
      </xdr:nvPicPr>
      <xdr:blipFill>
        <a:blip r:embed="rId148"/>
        <a:srcRect b="18733"/>
        <a:stretch>
          <a:fillRect/>
        </a:stretch>
      </xdr:blipFill>
      <xdr:spPr>
        <a:xfrm>
          <a:off x="16545560" y="186690"/>
          <a:ext cx="553720" cy="5702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7" name="ID_5A380C9BFBF943A8B9674913FDFC794A"/>
        <xdr:cNvPicPr>
          <a:picLocks noChangeAspect="1"/>
        </xdr:cNvPicPr>
      </xdr:nvPicPr>
      <xdr:blipFill>
        <a:blip r:embed="rId149"/>
        <a:srcRect b="18824"/>
        <a:stretch>
          <a:fillRect/>
        </a:stretch>
      </xdr:blipFill>
      <xdr:spPr>
        <a:xfrm>
          <a:off x="15593695" y="187325"/>
          <a:ext cx="456565" cy="569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8" name="ID_D6E3AF3D9494414986EB0877A7F81A28"/>
        <xdr:cNvPicPr>
          <a:picLocks noChangeAspect="1"/>
        </xdr:cNvPicPr>
      </xdr:nvPicPr>
      <xdr:blipFill>
        <a:blip r:embed="rId150"/>
        <a:srcRect b="17104"/>
        <a:stretch>
          <a:fillRect/>
        </a:stretch>
      </xdr:blipFill>
      <xdr:spPr>
        <a:xfrm>
          <a:off x="14617065" y="187325"/>
          <a:ext cx="503555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9" name="ID_C91AC1043F914BB7B82E0764899B1524"/>
        <xdr:cNvPicPr>
          <a:picLocks noChangeAspect="1"/>
        </xdr:cNvPicPr>
      </xdr:nvPicPr>
      <xdr:blipFill>
        <a:blip r:embed="rId151"/>
        <a:srcRect b="17466"/>
        <a:stretch>
          <a:fillRect/>
        </a:stretch>
      </xdr:blipFill>
      <xdr:spPr>
        <a:xfrm>
          <a:off x="13534390" y="187325"/>
          <a:ext cx="561340" cy="579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0" name="ID_033641DBAC0649A48B886401EF95FF25"/>
        <xdr:cNvPicPr>
          <a:picLocks noChangeAspect="1"/>
        </xdr:cNvPicPr>
      </xdr:nvPicPr>
      <xdr:blipFill>
        <a:blip r:embed="rId152"/>
        <a:srcRect b="17104"/>
        <a:stretch>
          <a:fillRect/>
        </a:stretch>
      </xdr:blipFill>
      <xdr:spPr>
        <a:xfrm>
          <a:off x="12183745" y="187325"/>
          <a:ext cx="723900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1" name="ID_773472871F46437BBE7357441BA2D8B0"/>
        <xdr:cNvPicPr>
          <a:picLocks noChangeAspect="1"/>
        </xdr:cNvPicPr>
      </xdr:nvPicPr>
      <xdr:blipFill>
        <a:blip r:embed="rId153"/>
        <a:srcRect b="13846"/>
        <a:stretch>
          <a:fillRect/>
        </a:stretch>
      </xdr:blipFill>
      <xdr:spPr>
        <a:xfrm>
          <a:off x="10748010" y="187325"/>
          <a:ext cx="729615" cy="604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2" name="ID_9CD824016D4B42E7B56E0838322AE70D"/>
        <xdr:cNvPicPr>
          <a:picLocks noChangeAspect="1"/>
        </xdr:cNvPicPr>
      </xdr:nvPicPr>
      <xdr:blipFill>
        <a:blip r:embed="rId154"/>
        <a:srcRect b="14480"/>
        <a:stretch>
          <a:fillRect/>
        </a:stretch>
      </xdr:blipFill>
      <xdr:spPr>
        <a:xfrm>
          <a:off x="9377680" y="187325"/>
          <a:ext cx="683260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3" name="ID_4F9A5748137D45479080D22DC01E51BB"/>
        <xdr:cNvPicPr>
          <a:picLocks noChangeAspect="1"/>
        </xdr:cNvPicPr>
      </xdr:nvPicPr>
      <xdr:blipFill>
        <a:blip r:embed="rId155"/>
        <a:srcRect b="17104"/>
        <a:stretch>
          <a:fillRect/>
        </a:stretch>
      </xdr:blipFill>
      <xdr:spPr>
        <a:xfrm>
          <a:off x="8109585" y="187325"/>
          <a:ext cx="628650" cy="581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4" name="ID_444B121646744E38B886A5626E80CE4B"/>
        <xdr:cNvPicPr>
          <a:picLocks noChangeAspect="1"/>
        </xdr:cNvPicPr>
      </xdr:nvPicPr>
      <xdr:blipFill>
        <a:blip r:embed="rId156"/>
        <a:srcRect b="18824"/>
        <a:stretch>
          <a:fillRect/>
        </a:stretch>
      </xdr:blipFill>
      <xdr:spPr>
        <a:xfrm>
          <a:off x="7147560" y="187325"/>
          <a:ext cx="439420" cy="569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8E909A3532A4489C957EC305AE01AF24"/>
        <xdr:cNvPicPr>
          <a:picLocks noChangeAspect="1"/>
        </xdr:cNvPicPr>
      </xdr:nvPicPr>
      <xdr:blipFill>
        <a:blip r:embed="rId157"/>
        <a:srcRect b="18100"/>
        <a:stretch>
          <a:fillRect/>
        </a:stretch>
      </xdr:blipFill>
      <xdr:spPr>
        <a:xfrm>
          <a:off x="5977890" y="187325"/>
          <a:ext cx="640715" cy="574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7" name="ID_12A52195355448BFAE3804EF2A53E10D"/>
        <xdr:cNvPicPr>
          <a:picLocks noChangeAspect="1"/>
        </xdr:cNvPicPr>
      </xdr:nvPicPr>
      <xdr:blipFill>
        <a:blip r:embed="rId158"/>
        <a:srcRect b="37738"/>
        <a:stretch>
          <a:fillRect/>
        </a:stretch>
      </xdr:blipFill>
      <xdr:spPr>
        <a:xfrm>
          <a:off x="4818380" y="259715"/>
          <a:ext cx="568325" cy="43688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<sst xmlns="http://schemas.openxmlformats.org/spreadsheetml/2006/main" count="1904" uniqueCount="166">
  <si>
    <t>HBA</t>
  </si>
  <si>
    <t>HBD</t>
  </si>
  <si>
    <t>ChCl</t>
  </si>
  <si>
    <t>MEA</t>
  </si>
  <si>
    <t>DEA</t>
  </si>
  <si>
    <t>MDEA</t>
  </si>
  <si>
    <t>AcAm</t>
  </si>
  <si>
    <t>U</t>
  </si>
  <si>
    <t>Gly</t>
  </si>
  <si>
    <t>LA</t>
  </si>
  <si>
    <t>GuHCl</t>
  </si>
  <si>
    <t>p–TsOH</t>
  </si>
  <si>
    <t>EG</t>
  </si>
  <si>
    <t>CA</t>
  </si>
  <si>
    <t>MNA</t>
  </si>
  <si>
    <t>MIA</t>
  </si>
  <si>
    <t>OAD</t>
  </si>
  <si>
    <t>OA</t>
  </si>
  <si>
    <t>XYL</t>
  </si>
  <si>
    <t>FAA</t>
  </si>
  <si>
    <t>1,2-PDO</t>
  </si>
  <si>
    <t>1,3-PDO</t>
  </si>
  <si>
    <t>GA</t>
  </si>
  <si>
    <t>2-CPA</t>
  </si>
  <si>
    <t>AA</t>
  </si>
  <si>
    <t>3-MPA</t>
  </si>
  <si>
    <t>2-MPA</t>
  </si>
  <si>
    <t>2-PPA</t>
  </si>
  <si>
    <t>Sor</t>
  </si>
  <si>
    <t>CAT</t>
  </si>
  <si>
    <t>VAN</t>
  </si>
  <si>
    <t>PCA</t>
  </si>
  <si>
    <t>4-HBA</t>
  </si>
  <si>
    <t>IMZ</t>
  </si>
  <si>
    <t>HPA</t>
  </si>
  <si>
    <t>HMPA</t>
  </si>
  <si>
    <t>LeA</t>
  </si>
  <si>
    <t>GluA</t>
  </si>
  <si>
    <t>FA</t>
  </si>
  <si>
    <t>GXA</t>
  </si>
  <si>
    <t>SA</t>
  </si>
  <si>
    <t>TA</t>
  </si>
  <si>
    <t>feed_material</t>
  </si>
  <si>
    <t>perc_cellulose (%)</t>
  </si>
  <si>
    <t>perc_hemicellulose (%)</t>
  </si>
  <si>
    <t>perc_lignins (%)</t>
  </si>
  <si>
    <t>Size(mm)</t>
  </si>
  <si>
    <t>HBA:HBD</t>
  </si>
  <si>
    <r>
      <rPr>
        <b/>
        <sz val="11"/>
        <rFont val="Calibri"/>
        <family val="2"/>
      </rPr>
      <t>S</t>
    </r>
    <r>
      <rPr>
        <b/>
        <sz val="11"/>
        <rFont val="宋体"/>
        <charset val="134"/>
      </rPr>
      <t>：</t>
    </r>
    <r>
      <rPr>
        <b/>
        <sz val="11"/>
        <rFont val="Calibri"/>
        <family val="2"/>
      </rPr>
      <t>L</t>
    </r>
  </si>
  <si>
    <t>temp (°C)</t>
  </si>
  <si>
    <t>time (h)</t>
  </si>
  <si>
    <t>Lingin remove yield (%)</t>
  </si>
  <si>
    <t>Ref.</t>
  </si>
  <si>
    <t>wheat straw</t>
  </si>
  <si>
    <t>1:6</t>
  </si>
  <si>
    <t>1:20</t>
  </si>
  <si>
    <t>[1]</t>
  </si>
  <si>
    <t>1:8</t>
  </si>
  <si>
    <t>1:10</t>
  </si>
  <si>
    <t>1:2</t>
  </si>
  <si>
    <t>[2]</t>
  </si>
  <si>
    <t>1:9</t>
  </si>
  <si>
    <t>1:15</t>
  </si>
  <si>
    <t>[3]</t>
  </si>
  <si>
    <t>1:5</t>
  </si>
  <si>
    <t>1:1</t>
  </si>
  <si>
    <t>[4]</t>
  </si>
  <si>
    <t>1:19</t>
  </si>
  <si>
    <t>[5]</t>
  </si>
  <si>
    <t>[6]</t>
  </si>
  <si>
    <t>[7]</t>
  </si>
  <si>
    <t>[8]</t>
  </si>
  <si>
    <t>[9]</t>
  </si>
  <si>
    <t>3:1</t>
  </si>
  <si>
    <t>[10]</t>
  </si>
  <si>
    <t>2:1</t>
  </si>
  <si>
    <t>[11]</t>
  </si>
  <si>
    <t>1:3.59</t>
  </si>
  <si>
    <t>1.5:20</t>
  </si>
  <si>
    <t>[12]</t>
  </si>
  <si>
    <t>1:4</t>
  </si>
  <si>
    <t>[13]</t>
  </si>
  <si>
    <t>[14]</t>
  </si>
  <si>
    <t>[15]</t>
  </si>
  <si>
    <t>[16]</t>
  </si>
  <si>
    <t>switch grass</t>
  </si>
  <si>
    <t>31.57 </t>
  </si>
  <si>
    <t>19.11 </t>
  </si>
  <si>
    <t>[17]</t>
  </si>
  <si>
    <t>[18]</t>
  </si>
  <si>
    <t>[19]</t>
  </si>
  <si>
    <t>Arabidopsis thaliana mutant</t>
  </si>
  <si>
    <t>[20]</t>
  </si>
  <si>
    <t>[21]</t>
  </si>
  <si>
    <t>[22]</t>
  </si>
  <si>
    <t>[23]</t>
  </si>
  <si>
    <t>3:7</t>
  </si>
  <si>
    <t>[24]</t>
  </si>
  <si>
    <t>1:3</t>
  </si>
  <si>
    <t>[25]</t>
  </si>
  <si>
    <t>[26]</t>
  </si>
  <si>
    <t>[27]</t>
  </si>
  <si>
    <t>[28]</t>
  </si>
  <si>
    <t>[29]</t>
  </si>
  <si>
    <t>corn cob</t>
  </si>
  <si>
    <t>1:16</t>
  </si>
  <si>
    <t>[30]</t>
  </si>
  <si>
    <t>[31]</t>
  </si>
  <si>
    <t>[32]</t>
  </si>
  <si>
    <t>[33]</t>
  </si>
  <si>
    <t>bamboo</t>
  </si>
  <si>
    <t>[34]</t>
  </si>
  <si>
    <t>[35]</t>
  </si>
  <si>
    <t>[36]</t>
  </si>
  <si>
    <t>[37]</t>
  </si>
  <si>
    <t>[38]</t>
  </si>
  <si>
    <t>rape straw</t>
  </si>
  <si>
    <t>sunflower straw</t>
  </si>
  <si>
    <t>1:12</t>
  </si>
  <si>
    <t>1:14</t>
  </si>
  <si>
    <t>Luffa</t>
  </si>
  <si>
    <t>Bambara groundnut haulm</t>
  </si>
  <si>
    <t>Lettuce</t>
  </si>
  <si>
    <t>List of references for experimental data.</t>
  </si>
  <si>
    <t>Reference</t>
  </si>
  <si>
    <t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t>
  </si>
  <si>
    <t>Lou, R.; Ma, R.; Lin, K.-t.; Ahamed, A.; Zhang, X. Facile Extraction of Wheat Straw by Deep Eutectic Solvent (DES) to Produce Lignin Nanoparticles. ACS Sustainable Chemistry &amp; Engineering 2019, 7 (12), 10248-10256. DOI: 10.1021/acssuschemeng.8b05816.</t>
  </si>
  <si>
    <t>Lin, K.-T.; Wang, C.; Guo, M. F.; Aprà, E.; Ma, R.; Ragauskas, A. J.; Zhang, X. Lignin with controlled structural properties by N-heterocycle-based deep eutectic solvent extraction. Proceedings of the National Academy of Sciences 2023, 120 (32), e2307323120. DOI: 10.1073/pnas.2307323120(2023 ).</t>
  </si>
  <si>
    <t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t>
  </si>
  <si>
    <t>Tan, J.; Yu, D.; Yuan, J.; Wu, H.; Luo, H.; Zhang, H.; Li, X.; Li, H.; Yang, S. Efficient delignification of wheat straw for microbial lipid production enabled by a novel ternary deep eutectic solvent containing ethylene glycol. Fuel 2023, 347, 128485. DOI: https://doi.org/10.1016/j.fuel.2023.128485.</t>
  </si>
  <si>
    <t>Jablonsky; Skulcova; Kamenska; Vrska; Sima. Deep Eutectic Solvents: Fractionation of Wheat Straw. BIORESOURCES 2015, 2015,10(4) (-), 8039-8047.</t>
  </si>
  <si>
    <t>Ma, H.; Fu, P.; Zhao, J.; Lin, X.; Wu, W.; Yu, Z.; Xia, C.; Wang, Q.; Gao, M.; Zhou, J. Pretreatment of Wheat Straw Lignocelluloses by Deep Eutectic Solvent for Lignin Extraction. Molecules 2022, 27 (22), 7955.</t>
  </si>
  <si>
    <t>Kumar, A. K.; Parikh, B. S.; Pravakar, M. Natural deep eutectic solvent mediated pretreatment of rice straw: bioanalytical characterization of lignin extract and enzymatic hydrolysis of pretreated biomass residue. Environmental Science and Pollution Research 2016, 23 (10), 9265-9275. DOI: 10.1007/s11356-015-4780-4.</t>
  </si>
  <si>
    <t>Hou, X.-D.; Feng, G.-J.; Ye, M.; Huang, C.-M.; Zhang, Y. Significantly enhanced enzymatic hydrolysis of rice straw via a high-performance two-stage deep eutectic solvents synergistic pretreatment. Bioresource Technology 2017, 238, 139-146. DOI: https://doi.org/10.1016/j.biortech.2017.04.027.</t>
  </si>
  <si>
    <t>Hou, X.-D.; Li, A.-L.; Lin, K.-P.; Wang, Y.-Y.; Kuang, Z.-Y.; Cao, S.-L. Insight into the structure-function relationships of deep eutectic solvents during rice straw pretreatment. Bioresource Technology 2018, 249, 261-267. DOI: https://doi.org/10.1016/j.biortech.2017.10.019.</t>
  </si>
  <si>
    <t>Maibam, P. D.; Goyal, A. Approach to an efficient pretreatment method for rice straw by deep eutectic solvent for high saccharification efficiency. Bioresource Technology 2022, 351, 127057. DOI: https://doi.org/10.1016/j.biortech.2022.127057.</t>
  </si>
  <si>
    <t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t>
  </si>
  <si>
    <t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t>
  </si>
  <si>
    <t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t>
  </si>
  <si>
    <t>Pan, M.; Zhao, G.; Ding, C.; Wu, B.; Lian, Z.; Lian, H. Physicochemical transformation of rice straw after pretreatment with a deep eutectic solvent of choline chloride/urea. Carbohydrate Polymers 2017, 176, 307-314. DOI: https://doi.org/10.1016/j.carbpol.2017.08.088.</t>
  </si>
  <si>
    <t>Chen, Z.; Reznicek, W. D.; Wan, C. Deep eutectic solvent pretreatment enabling full utilization of switchgrass. Bioresource Technology 2018, 263, 40-48. DOI: https://doi.org/10.1016/j.biortech.2018.04.058.</t>
  </si>
  <si>
    <t>Kim, K. H.; Dutta, T.; Sun, J.; Simmons, B.; Singh, S. Biomass pretreatment using deep eutectic solvents from lignin derived phenols. Green Chemistry 2018, 20 (4), 809-815, 10.1039/C7GC03029K. DOI: 10.1039/C7GC03029K.</t>
  </si>
  <si>
    <t>Chen, Z.; Bai, X.; A, L.; Wan, C. High-Solid Lignocellulose Processing Enabled by Natural Deep Eutectic Solvent for Lignin Extraction and Industrially Relevant Production of Renewable Chemicals. ACS Sustainable Chemistry &amp; Engineering 2018, 6 (9), 12205-12216. DOI: 10.1021/acssuschemeng.8b02541.</t>
  </si>
  <si>
    <t>Kim, K. H.; Eudes, A.; Jeong, K.; Yoo, C. G.; Kim, C. S.; Ragauskas, A. Integration of renewable deep eutectic solvents with engineered biomass to achieve a closed-loop biorefinery. Proceedings of the National Academy of Sciences 2019, 116 (28), 13816-13824. DOI: doi:10.1073/pnas.1904636116.</t>
  </si>
  <si>
    <t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t>
  </si>
  <si>
    <t>Satlewal, A.; Agrawal, R.; Das, P.; Bhagia, S.; Pu, Y.; Puri, S. K.; Ramakumar, S. S. V.; Ragauskas, A. J. Assessing the Facile Pretreatments of Bagasse for Efficient Enzymatic Conversion and Their Impacts on Structural and Chemical Properties. ACS Sustainable Chemistry &amp; Engineering 2019, 7 (1), 1095-1104. DOI: 10.1021/acssuschemeng.8b04773.</t>
  </si>
  <si>
    <t>Chen, H.; Sun, C.; Hu, Y.; Xia, C.; Sun, F.; Zhang, Z. Reaction characteristics of metal-salt coordinated deep eutectic solvents during lignocellulosic pretreatment. Journal of Environmental Chemical Engineering 2023, 11 (2), 109531. DOI: https://doi.org/10.1016/j.jece.2023.109531.</t>
  </si>
  <si>
    <t>Liang, X.; Zhu, Y.; Qi, B.; Li, S.; Luo, J.; Wan, Y. Structure-property-performance relationships of lactic acid-based deep eutectic solvents with different hydrogen bond acceptors for corn stover pretreatment. Bioresource Technology 2021, 336, 125312. DOI: https://doi.org/10.1016/j.biortech.2021.125312.</t>
  </si>
  <si>
    <t>Fu, C.; Wang, S.; Song, G. Efficient fractionation of corn stover using deep eutectic solvent from lignin-derived 3-phenylpropionic acid: Towards a closed-loop biorefinery. Industrial Crops and Products 2024, 212, 118380. DOI: https://doi.org/10.1016/j.indcrop.2024.118380.</t>
  </si>
  <si>
    <t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t>
  </si>
  <si>
    <t>Procentese, A.; Johnson, E.; Orr, V.; Garruto Campanile, A.; Wood, J. A.; Marzocchella, A.; Rehmann, L. Deep eutectic solvent pretreatment and subsequent saccharification of corncob. Bioresource Technology 2015, 192, 31-36. DOI: https://doi.org/10.1016/j.biortech.2015.05.053.</t>
  </si>
  <si>
    <t>Zhang, C.-W.; Xia, S.-Q.; Ma, P.-S. Facile pretreatment of lignocellulosic biomass using deep eutectic solvents. Bioresource Technology 2016, 219, 1-5. DOI: https://doi.org/10.1016/j.biortech.2016.07.026.</t>
  </si>
  <si>
    <t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t>
  </si>
  <si>
    <t>Guo, Y.; Xu, L.; Shen, F.; Hu, J.; Huang, M.; He, J.; Zhang, Y.; Deng, S.; Li, Q.; Tian, D. Insights into lignocellulosic waste fractionation for lignin nanospheres fabrication using acidic/alkaline deep eutectic solvents. Chemosphere 2022, 286, 131798. DOI: https://doi.org/10.1016/j.chemosphere.2021.131798.</t>
  </si>
  <si>
    <t>Li, W.-X.; Xiao, W.-Z.; Yang, Y.-Q.; Wang, Q.; Chen, X.; Xiao, L.-P.; Sun, R.-C. Insights into bamboo delignification with acidic deep eutectic solvents pretreatment for enhanced lignin fractionation and valorization. Industrial Crops and Products 2021, 170, 113692. DOI: https://doi.org/10.1016/j.indcrop.2021.113692.</t>
  </si>
  <si>
    <t>Song, K.; Yu, L.; Yang, S.; Cao, Y.; Li, L.; Wu, Z.; Shi, H.; Ma, Q. Insights into the Chemical Structure and Antioxidant Activity of Lignin Extracted from Bamboo by Acidic Deep Eutectic Solvents. ACS Omega 2024, 9 (39), 40956-40969. DOI: 10.1021/acsomega.4c06259.</t>
  </si>
  <si>
    <t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t>
  </si>
  <si>
    <t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t>
  </si>
  <si>
    <t>Zhang, Z.; Lv, P.; Ji, H.; Ji, X.; Tian, Z.; Chen, J. Functional deep eutectic solvent for lignocellulose valorization via lignin stabilization and cellulose functionalization. Green Chemistry 2024, 26 (6), 3453-3465, 10.1039/D3GC04749K. DOI: 10.1039/D3GC04749K.</t>
  </si>
  <si>
    <t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t>
  </si>
  <si>
    <t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t>
  </si>
  <si>
    <t>Okuofu, S. I.; Gerrano, A. S.; Singh, S.; Pillai, S. Deep eutectic solvent pretreatment of Bambara groundnut haulm for enhanced saccharification and bioethanol production. Biomass Conversion and Biorefinery 2022, 12 (8), 3525-3533. DOI: 10.1007/s13399-020-01053-w.</t>
  </si>
  <si>
    <t>Procentese, A.; Raganati, F.; Olivieri, G.; Russo, M. E.; Rehmann, L.; Marzocchella, A. Low-energy biomass pretreatment with deep eutectic solvents for bio-butanol production. Bioresource Technology 2017, 243, 464-473. DOI: https://doi.org/10.1016/j.biortech.2017.06.143.</t>
  </si>
  <si>
    <t>No</t>
  </si>
  <si>
    <t>Full Reference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</si>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</sst>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_ "/>
    <numFmt numFmtId="165" formatCode="0.00_ "/>
    <numFmt numFmtId="166" formatCode="0.0"/>
    <numFmt numFmtId="167" formatCode="0.000_ 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1F1F1F"/>
      <name val="Calibri"/>
      <family val="2"/>
    </font>
    <font>
      <sz val="12"/>
      <color rgb="FF333333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宋体"/>
      <charset val="134"/>
    </font>
    <font>
      <b/>
      <sz val="11"/>
      <name val="Times New Roman"/>
      <family val="1"/>
    </font>
    <font>
      <sz val="10"/>
      <name val="Calibri"/>
      <family val="2"/>
    </font>
    <font>
      <i/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65" fontId="7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166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164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/>
    </xf>
    <xf numFmtId="0" fontId="1" fillId="0" borderId="0" xfId="0" applyFont="1" applyAlignment="1"/>
    <xf numFmtId="164" fontId="7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17" Type="http://schemas.openxmlformats.org/officeDocument/2006/relationships/image" Target="media/image117.png"/><Relationship Id="rId84" Type="http://schemas.openxmlformats.org/officeDocument/2006/relationships/image" Target="media/image84.png"/><Relationship Id="rId63" Type="http://schemas.openxmlformats.org/officeDocument/2006/relationships/image" Target="media/image63.png"/><Relationship Id="rId42" Type="http://schemas.openxmlformats.org/officeDocument/2006/relationships/image" Target="media/image42.png"/><Relationship Id="rId21" Type="http://schemas.openxmlformats.org/officeDocument/2006/relationships/image" Target="media/image21.png"/><Relationship Id="rId138" Type="http://schemas.openxmlformats.org/officeDocument/2006/relationships/image" Target="media/image138.png"/><Relationship Id="rId107" Type="http://schemas.openxmlformats.org/officeDocument/2006/relationships/image" Target="media/image107.png"/><Relationship Id="rId74" Type="http://schemas.openxmlformats.org/officeDocument/2006/relationships/image" Target="media/image74.png"/><Relationship Id="rId53" Type="http://schemas.openxmlformats.org/officeDocument/2006/relationships/image" Target="media/image53.png"/><Relationship Id="rId32" Type="http://schemas.openxmlformats.org/officeDocument/2006/relationships/image" Target="media/image32.png"/><Relationship Id="rId149" Type="http://schemas.openxmlformats.org/officeDocument/2006/relationships/image" Target="media/image149.png"/><Relationship Id="rId128" Type="http://schemas.openxmlformats.org/officeDocument/2006/relationships/image" Target="media/image128.png"/><Relationship Id="rId11" Type="http://schemas.openxmlformats.org/officeDocument/2006/relationships/image" Target="media/image11.png"/><Relationship Id="rId95" Type="http://schemas.openxmlformats.org/officeDocument/2006/relationships/image" Target="media/image95.png"/><Relationship Id="rId5" Type="http://schemas.openxmlformats.org/officeDocument/2006/relationships/image" Target="media/image5.png"/><Relationship Id="rId64" Type="http://schemas.openxmlformats.org/officeDocument/2006/relationships/image" Target="media/image64.png"/><Relationship Id="rId43" Type="http://schemas.openxmlformats.org/officeDocument/2006/relationships/image" Target="media/image43.png"/><Relationship Id="rId22" Type="http://schemas.openxmlformats.org/officeDocument/2006/relationships/image" Target="media/image22.png"/><Relationship Id="rId139" Type="http://schemas.openxmlformats.org/officeDocument/2006/relationships/image" Target="media/image139.png"/><Relationship Id="rId118" Type="http://schemas.openxmlformats.org/officeDocument/2006/relationships/image" Target="media/image118.png"/><Relationship Id="rId85" Type="http://schemas.openxmlformats.org/officeDocument/2006/relationships/image" Target="media/image85.png"/><Relationship Id="rId80" Type="http://schemas.openxmlformats.org/officeDocument/2006/relationships/image" Target="media/image80.png"/><Relationship Id="rId155" Type="http://schemas.openxmlformats.org/officeDocument/2006/relationships/image" Target="media/image155.png"/><Relationship Id="rId150" Type="http://schemas.openxmlformats.org/officeDocument/2006/relationships/image" Target="media/image150.png"/><Relationship Id="rId59" Type="http://schemas.openxmlformats.org/officeDocument/2006/relationships/image" Target="media/image59.png"/><Relationship Id="rId38" Type="http://schemas.openxmlformats.org/officeDocument/2006/relationships/image" Target="media/image38.png"/><Relationship Id="rId33" Type="http://schemas.openxmlformats.org/officeDocument/2006/relationships/image" Target="media/image33.png"/><Relationship Id="rId17" Type="http://schemas.openxmlformats.org/officeDocument/2006/relationships/image" Target="media/image17.png"/><Relationship Id="rId129" Type="http://schemas.openxmlformats.org/officeDocument/2006/relationships/image" Target="media/image129.png"/><Relationship Id="rId124" Type="http://schemas.openxmlformats.org/officeDocument/2006/relationships/image" Target="media/image124.png"/><Relationship Id="rId12" Type="http://schemas.openxmlformats.org/officeDocument/2006/relationships/image" Target="media/image12.png"/><Relationship Id="rId108" Type="http://schemas.openxmlformats.org/officeDocument/2006/relationships/image" Target="media/image108.png"/><Relationship Id="rId103" Type="http://schemas.openxmlformats.org/officeDocument/2006/relationships/image" Target="media/image103.png"/><Relationship Id="rId96" Type="http://schemas.openxmlformats.org/officeDocument/2006/relationships/image" Target="media/image96.png"/><Relationship Id="rId91" Type="http://schemas.openxmlformats.org/officeDocument/2006/relationships/image" Target="media/image91.png"/><Relationship Id="rId75" Type="http://schemas.openxmlformats.org/officeDocument/2006/relationships/image" Target="media/image75.png"/><Relationship Id="rId70" Type="http://schemas.openxmlformats.org/officeDocument/2006/relationships/image" Target="media/image70.png"/><Relationship Id="rId54" Type="http://schemas.openxmlformats.org/officeDocument/2006/relationships/image" Target="media/image54.png"/><Relationship Id="rId145" Type="http://schemas.openxmlformats.org/officeDocument/2006/relationships/image" Target="media/image145.png"/><Relationship Id="rId140" Type="http://schemas.openxmlformats.org/officeDocument/2006/relationships/image" Target="media/image140.png"/><Relationship Id="rId6" Type="http://schemas.openxmlformats.org/officeDocument/2006/relationships/image" Target="media/image6.png"/><Relationship Id="rId1" Type="http://schemas.openxmlformats.org/officeDocument/2006/relationships/image" Target="media/image1.png"/><Relationship Id="rId49" Type="http://schemas.openxmlformats.org/officeDocument/2006/relationships/image" Target="media/image49.pn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19" Type="http://schemas.openxmlformats.org/officeDocument/2006/relationships/image" Target="media/image119.png"/><Relationship Id="rId114" Type="http://schemas.openxmlformats.org/officeDocument/2006/relationships/image" Target="media/image114.png"/><Relationship Id="rId86" Type="http://schemas.openxmlformats.org/officeDocument/2006/relationships/image" Target="media/image86.png"/><Relationship Id="rId81" Type="http://schemas.openxmlformats.org/officeDocument/2006/relationships/image" Target="media/image81.png"/><Relationship Id="rId65" Type="http://schemas.openxmlformats.org/officeDocument/2006/relationships/image" Target="media/image65.png"/><Relationship Id="rId60" Type="http://schemas.openxmlformats.org/officeDocument/2006/relationships/image" Target="media/image60.png"/><Relationship Id="rId44" Type="http://schemas.openxmlformats.org/officeDocument/2006/relationships/image" Target="media/image44.png"/><Relationship Id="rId156" Type="http://schemas.openxmlformats.org/officeDocument/2006/relationships/image" Target="media/image156.png"/><Relationship Id="rId151" Type="http://schemas.openxmlformats.org/officeDocument/2006/relationships/image" Target="media/image151.png"/><Relationship Id="rId135" Type="http://schemas.openxmlformats.org/officeDocument/2006/relationships/image" Target="media/image135.png"/><Relationship Id="rId130" Type="http://schemas.openxmlformats.org/officeDocument/2006/relationships/image" Target="media/image130.png"/><Relationship Id="rId39" Type="http://schemas.openxmlformats.org/officeDocument/2006/relationships/image" Target="media/image39.png"/><Relationship Id="rId18" Type="http://schemas.openxmlformats.org/officeDocument/2006/relationships/image" Target="media/image18.png"/><Relationship Id="rId13" Type="http://schemas.openxmlformats.org/officeDocument/2006/relationships/image" Target="media/image13.png"/><Relationship Id="rId109" Type="http://schemas.openxmlformats.org/officeDocument/2006/relationships/image" Target="media/image109.png"/><Relationship Id="rId97" Type="http://schemas.openxmlformats.org/officeDocument/2006/relationships/image" Target="media/image97.png"/><Relationship Id="rId76" Type="http://schemas.openxmlformats.org/officeDocument/2006/relationships/image" Target="media/image76.png"/><Relationship Id="rId55" Type="http://schemas.openxmlformats.org/officeDocument/2006/relationships/image" Target="media/image55.png"/><Relationship Id="rId50" Type="http://schemas.openxmlformats.org/officeDocument/2006/relationships/image" Target="media/image50.png"/><Relationship Id="rId34" Type="http://schemas.openxmlformats.org/officeDocument/2006/relationships/image" Target="media/image34.png"/><Relationship Id="rId146" Type="http://schemas.openxmlformats.org/officeDocument/2006/relationships/image" Target="media/image146.png"/><Relationship Id="rId141" Type="http://schemas.openxmlformats.org/officeDocument/2006/relationships/image" Target="media/image141.png"/><Relationship Id="rId125" Type="http://schemas.openxmlformats.org/officeDocument/2006/relationships/image" Target="media/image125.png"/><Relationship Id="rId120" Type="http://schemas.openxmlformats.org/officeDocument/2006/relationships/image" Target="media/image120.png"/><Relationship Id="rId104" Type="http://schemas.openxmlformats.org/officeDocument/2006/relationships/image" Target="media/image104.png"/><Relationship Id="rId92" Type="http://schemas.openxmlformats.org/officeDocument/2006/relationships/image" Target="media/image92.png"/><Relationship Id="rId71" Type="http://schemas.openxmlformats.org/officeDocument/2006/relationships/image" Target="media/image71.png"/><Relationship Id="rId7" Type="http://schemas.openxmlformats.org/officeDocument/2006/relationships/image" Target="media/image7.png"/><Relationship Id="rId29" Type="http://schemas.openxmlformats.org/officeDocument/2006/relationships/image" Target="media/image29.png"/><Relationship Id="rId2" Type="http://schemas.openxmlformats.org/officeDocument/2006/relationships/image" Target="media/image2.png"/><Relationship Id="rId87" Type="http://schemas.openxmlformats.org/officeDocument/2006/relationships/image" Target="media/image87.png"/><Relationship Id="rId66" Type="http://schemas.openxmlformats.org/officeDocument/2006/relationships/image" Target="media/image66.png"/><Relationship Id="rId45" Type="http://schemas.openxmlformats.org/officeDocument/2006/relationships/image" Target="media/image45.png"/><Relationship Id="rId40" Type="http://schemas.openxmlformats.org/officeDocument/2006/relationships/image" Target="media/image40.png"/><Relationship Id="rId24" Type="http://schemas.openxmlformats.org/officeDocument/2006/relationships/image" Target="media/image24.png"/><Relationship Id="rId157" Type="http://schemas.openxmlformats.org/officeDocument/2006/relationships/image" Target="media/image157.png"/><Relationship Id="rId136" Type="http://schemas.openxmlformats.org/officeDocument/2006/relationships/image" Target="media/image136.png"/><Relationship Id="rId131" Type="http://schemas.openxmlformats.org/officeDocument/2006/relationships/image" Target="media/image131.png"/><Relationship Id="rId115" Type="http://schemas.openxmlformats.org/officeDocument/2006/relationships/image" Target="media/image115.png"/><Relationship Id="rId110" Type="http://schemas.openxmlformats.org/officeDocument/2006/relationships/image" Target="media/image110.png"/><Relationship Id="rId82" Type="http://schemas.openxmlformats.org/officeDocument/2006/relationships/image" Target="media/image82.png"/><Relationship Id="rId61" Type="http://schemas.openxmlformats.org/officeDocument/2006/relationships/image" Target="media/image61.png"/><Relationship Id="rId152" Type="http://schemas.openxmlformats.org/officeDocument/2006/relationships/image" Target="media/image152.png"/><Relationship Id="rId19" Type="http://schemas.openxmlformats.org/officeDocument/2006/relationships/image" Target="media/image19.png"/><Relationship Id="rId77" Type="http://schemas.openxmlformats.org/officeDocument/2006/relationships/image" Target="media/image77.png"/><Relationship Id="rId56" Type="http://schemas.openxmlformats.org/officeDocument/2006/relationships/image" Target="media/image56.png"/><Relationship Id="rId35" Type="http://schemas.openxmlformats.org/officeDocument/2006/relationships/image" Target="media/image35.png"/><Relationship Id="rId30" Type="http://schemas.openxmlformats.org/officeDocument/2006/relationships/image" Target="media/image30.png"/><Relationship Id="rId147" Type="http://schemas.openxmlformats.org/officeDocument/2006/relationships/image" Target="media/image147.png"/><Relationship Id="rId14" Type="http://schemas.openxmlformats.org/officeDocument/2006/relationships/image" Target="media/image14.png"/><Relationship Id="rId126" Type="http://schemas.openxmlformats.org/officeDocument/2006/relationships/image" Target="media/image126.png"/><Relationship Id="rId105" Type="http://schemas.openxmlformats.org/officeDocument/2006/relationships/image" Target="media/image105.png"/><Relationship Id="rId100" Type="http://schemas.openxmlformats.org/officeDocument/2006/relationships/image" Target="media/image100.png"/><Relationship Id="rId98" Type="http://schemas.openxmlformats.org/officeDocument/2006/relationships/image" Target="media/image98.png"/><Relationship Id="rId93" Type="http://schemas.openxmlformats.org/officeDocument/2006/relationships/image" Target="media/image93.png"/><Relationship Id="rId8" Type="http://schemas.openxmlformats.org/officeDocument/2006/relationships/image" Target="media/image8.png"/><Relationship Id="rId72" Type="http://schemas.openxmlformats.org/officeDocument/2006/relationships/image" Target="media/image72.png"/><Relationship Id="rId51" Type="http://schemas.openxmlformats.org/officeDocument/2006/relationships/image" Target="media/image51.png"/><Relationship Id="rId142" Type="http://schemas.openxmlformats.org/officeDocument/2006/relationships/image" Target="media/image142.png"/><Relationship Id="rId121" Type="http://schemas.openxmlformats.org/officeDocument/2006/relationships/image" Target="media/image121.png"/><Relationship Id="rId3" Type="http://schemas.openxmlformats.org/officeDocument/2006/relationships/image" Target="media/image3.png"/><Relationship Id="rId67" Type="http://schemas.openxmlformats.org/officeDocument/2006/relationships/image" Target="media/image67.png"/><Relationship Id="rId46" Type="http://schemas.openxmlformats.org/officeDocument/2006/relationships/image" Target="media/image46.png"/><Relationship Id="rId25" Type="http://schemas.openxmlformats.org/officeDocument/2006/relationships/image" Target="media/image25.png"/><Relationship Id="rId158" Type="http://schemas.openxmlformats.org/officeDocument/2006/relationships/image" Target="media/image158.png"/><Relationship Id="rId137" Type="http://schemas.openxmlformats.org/officeDocument/2006/relationships/image" Target="media/image137.png"/><Relationship Id="rId116" Type="http://schemas.openxmlformats.org/officeDocument/2006/relationships/image" Target="media/image116.png"/><Relationship Id="rId88" Type="http://schemas.openxmlformats.org/officeDocument/2006/relationships/image" Target="media/image88.png"/><Relationship Id="rId83" Type="http://schemas.openxmlformats.org/officeDocument/2006/relationships/image" Target="media/image83.png"/><Relationship Id="rId62" Type="http://schemas.openxmlformats.org/officeDocument/2006/relationships/image" Target="media/image62.png"/><Relationship Id="rId41" Type="http://schemas.openxmlformats.org/officeDocument/2006/relationships/image" Target="media/image41.png"/><Relationship Id="rId20" Type="http://schemas.openxmlformats.org/officeDocument/2006/relationships/image" Target="media/image20.png"/><Relationship Id="rId153" Type="http://schemas.openxmlformats.org/officeDocument/2006/relationships/image" Target="media/image153.png"/><Relationship Id="rId132" Type="http://schemas.openxmlformats.org/officeDocument/2006/relationships/image" Target="media/image132.png"/><Relationship Id="rId111" Type="http://schemas.openxmlformats.org/officeDocument/2006/relationships/image" Target="media/image111.png"/><Relationship Id="rId57" Type="http://schemas.openxmlformats.org/officeDocument/2006/relationships/image" Target="media/image57.png"/><Relationship Id="rId36" Type="http://schemas.openxmlformats.org/officeDocument/2006/relationships/image" Target="media/image36.png"/><Relationship Id="rId15" Type="http://schemas.openxmlformats.org/officeDocument/2006/relationships/image" Target="media/image15.png"/><Relationship Id="rId127" Type="http://schemas.openxmlformats.org/officeDocument/2006/relationships/image" Target="media/image127.png"/><Relationship Id="rId106" Type="http://schemas.openxmlformats.org/officeDocument/2006/relationships/image" Target="media/image106.png"/><Relationship Id="rId99" Type="http://schemas.openxmlformats.org/officeDocument/2006/relationships/image" Target="media/image99.png"/><Relationship Id="rId94" Type="http://schemas.openxmlformats.org/officeDocument/2006/relationships/image" Target="media/image94.png"/><Relationship Id="rId78" Type="http://schemas.openxmlformats.org/officeDocument/2006/relationships/image" Target="media/image78.png"/><Relationship Id="rId73" Type="http://schemas.openxmlformats.org/officeDocument/2006/relationships/image" Target="media/image73.png"/><Relationship Id="rId52" Type="http://schemas.openxmlformats.org/officeDocument/2006/relationships/image" Target="media/image52.png"/><Relationship Id="rId31" Type="http://schemas.openxmlformats.org/officeDocument/2006/relationships/image" Target="media/image31.png"/><Relationship Id="rId148" Type="http://schemas.openxmlformats.org/officeDocument/2006/relationships/image" Target="media/image148.png"/><Relationship Id="rId143" Type="http://schemas.openxmlformats.org/officeDocument/2006/relationships/image" Target="media/image143.png"/><Relationship Id="rId122" Type="http://schemas.openxmlformats.org/officeDocument/2006/relationships/image" Target="media/image122.png"/><Relationship Id="rId101" Type="http://schemas.openxmlformats.org/officeDocument/2006/relationships/image" Target="media/image101.png"/><Relationship Id="rId10" Type="http://schemas.openxmlformats.org/officeDocument/2006/relationships/image" Target="media/image10.png"/><Relationship Id="rId9" Type="http://schemas.openxmlformats.org/officeDocument/2006/relationships/image" Target="media/image9.png"/><Relationship Id="rId4" Type="http://schemas.openxmlformats.org/officeDocument/2006/relationships/image" Target="media/image4.png"/><Relationship Id="rId26" Type="http://schemas.openxmlformats.org/officeDocument/2006/relationships/image" Target="media/image26.png"/><Relationship Id="rId89" Type="http://schemas.openxmlformats.org/officeDocument/2006/relationships/image" Target="media/image89.png"/><Relationship Id="rId68" Type="http://schemas.openxmlformats.org/officeDocument/2006/relationships/image" Target="media/image68.png"/><Relationship Id="rId47" Type="http://schemas.openxmlformats.org/officeDocument/2006/relationships/image" Target="media/image47.png"/><Relationship Id="rId154" Type="http://schemas.openxmlformats.org/officeDocument/2006/relationships/image" Target="media/image154.png"/><Relationship Id="rId133" Type="http://schemas.openxmlformats.org/officeDocument/2006/relationships/image" Target="media/image133.png"/><Relationship Id="rId112" Type="http://schemas.openxmlformats.org/officeDocument/2006/relationships/image" Target="media/image112.png"/><Relationship Id="rId16" Type="http://schemas.openxmlformats.org/officeDocument/2006/relationships/image" Target="media/image16.png"/><Relationship Id="rId79" Type="http://schemas.openxmlformats.org/officeDocument/2006/relationships/image" Target="media/image79.png"/><Relationship Id="rId58" Type="http://schemas.openxmlformats.org/officeDocument/2006/relationships/image" Target="media/image58.png"/><Relationship Id="rId37" Type="http://schemas.openxmlformats.org/officeDocument/2006/relationships/image" Target="media/image37.png"/><Relationship Id="rId144" Type="http://schemas.openxmlformats.org/officeDocument/2006/relationships/image" Target="media/image144.png"/><Relationship Id="rId123" Type="http://schemas.openxmlformats.org/officeDocument/2006/relationships/image" Target="media/image123.png"/><Relationship Id="rId102" Type="http://schemas.openxmlformats.org/officeDocument/2006/relationships/image" Target="media/image102.png"/><Relationship Id="rId90" Type="http://schemas.openxmlformats.org/officeDocument/2006/relationships/image" Target="media/image90.png"/><Relationship Id="rId69" Type="http://schemas.openxmlformats.org/officeDocument/2006/relationships/image" Target="media/image69.png"/><Relationship Id="rId48" Type="http://schemas.openxmlformats.org/officeDocument/2006/relationships/image" Target="media/image48.png"/><Relationship Id="rId27" Type="http://schemas.openxmlformats.org/officeDocument/2006/relationships/image" Target="media/image27.png"/><Relationship Id="rId134" Type="http://schemas.openxmlformats.org/officeDocument/2006/relationships/image" Target="media/image134.png"/><Relationship Id="rId113" Type="http://schemas.openxmlformats.org/officeDocument/2006/relationships/image" Target="media/image113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7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iencedirect.com/topics/agricultural-and-biological-sciences/tartaric-aci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3987-CFA6-4E2D-A549-35D7E51D4934}">
  <dimension ref="A1:O307"/>
  <sheetViews>
    <sheetView tabSelected="1" zoomScaleNormal="100" workbookViewId="0">
      <selection activeCell="A2" sqref="A2"/>
    </sheetView>
  </sheetViews>
  <sheetFormatPr defaultRowHeight="15"/>
  <cols>
    <col min="1" max="1" width="10.42578125" customWidth="1"/>
    <col min="2" max="2" width="27.140625" bestFit="1" customWidth="1"/>
    <col min="3" max="6" width="10.42578125" customWidth="1"/>
    <col min="7" max="7" width="15.140625" customWidth="1"/>
    <col min="8" max="8" width="12.85546875" customWidth="1"/>
    <col min="9" max="12" width="10.42578125" customWidth="1"/>
    <col min="13" max="13" width="26" customWidth="1"/>
    <col min="14" max="14" width="10.42578125" customWidth="1"/>
    <col min="15" max="15" width="255.7109375" style="34" bestFit="1" customWidth="1"/>
  </cols>
  <sheetData>
    <row r="1" spans="1:15">
      <c r="A1" s="9" t="s">
        <v>165</v>
      </c>
      <c r="B1" s="9" t="s">
        <v>42</v>
      </c>
      <c r="C1" s="11" t="s">
        <v>43</v>
      </c>
      <c r="D1" s="12" t="s">
        <v>44</v>
      </c>
      <c r="E1" s="11" t="s">
        <v>45</v>
      </c>
      <c r="F1" s="11" t="s">
        <v>46</v>
      </c>
      <c r="G1" s="9" t="s">
        <v>0</v>
      </c>
      <c r="H1" s="9" t="s">
        <v>1</v>
      </c>
      <c r="I1" s="9" t="s">
        <v>47</v>
      </c>
      <c r="J1" s="16" t="s">
        <v>48</v>
      </c>
      <c r="K1" s="16" t="s">
        <v>49</v>
      </c>
      <c r="L1" s="11" t="s">
        <v>50</v>
      </c>
      <c r="M1" s="11" t="s">
        <v>51</v>
      </c>
      <c r="N1" s="17" t="s">
        <v>52</v>
      </c>
      <c r="O1" s="31" t="s">
        <v>164</v>
      </c>
    </row>
    <row r="2" spans="1:15">
      <c r="A2" s="9">
        <v>1</v>
      </c>
      <c r="B2" s="10" t="s">
        <v>53</v>
      </c>
      <c r="C2" s="13">
        <v>34.799999999999997</v>
      </c>
      <c r="D2" s="13">
        <v>21.8</v>
      </c>
      <c r="E2" s="13">
        <v>19</v>
      </c>
      <c r="F2" s="14">
        <v>0.2</v>
      </c>
      <c r="G2" s="14" t="s">
        <v>2</v>
      </c>
      <c r="H2" s="15" t="s">
        <v>3</v>
      </c>
      <c r="I2" s="18" t="s">
        <v>54</v>
      </c>
      <c r="J2" s="18" t="s">
        <v>55</v>
      </c>
      <c r="K2" s="14">
        <v>90</v>
      </c>
      <c r="L2" s="14">
        <v>12</v>
      </c>
      <c r="M2" s="13">
        <v>81</v>
      </c>
      <c r="N2" s="19" t="s">
        <v>56</v>
      </c>
      <c r="O2" s="32" t="str">
        <f>VLOOKUP(N2,Reference!A:B,2,)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3" spans="1:15">
      <c r="A3" s="9">
        <v>2</v>
      </c>
      <c r="B3" s="10" t="s">
        <v>53</v>
      </c>
      <c r="C3" s="13">
        <v>34.799999999999997</v>
      </c>
      <c r="D3" s="13">
        <v>21.8</v>
      </c>
      <c r="E3" s="13">
        <v>19</v>
      </c>
      <c r="F3" s="14">
        <v>0.2</v>
      </c>
      <c r="G3" s="14" t="s">
        <v>2</v>
      </c>
      <c r="H3" s="15" t="s">
        <v>4</v>
      </c>
      <c r="I3" s="18" t="s">
        <v>57</v>
      </c>
      <c r="J3" s="18" t="s">
        <v>55</v>
      </c>
      <c r="K3" s="14">
        <v>90</v>
      </c>
      <c r="L3" s="14">
        <v>12</v>
      </c>
      <c r="M3" s="13">
        <v>73.5</v>
      </c>
      <c r="N3" s="20" t="s">
        <v>56</v>
      </c>
      <c r="O3" s="33" t="str">
        <f>VLOOKUP(N3,Reference!A:B,2,)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4" spans="1:15">
      <c r="A4" s="9">
        <v>3</v>
      </c>
      <c r="B4" s="10" t="s">
        <v>53</v>
      </c>
      <c r="C4" s="13">
        <v>34.799999999999997</v>
      </c>
      <c r="D4" s="13">
        <v>21.8</v>
      </c>
      <c r="E4" s="13">
        <v>19</v>
      </c>
      <c r="F4" s="14">
        <v>0.2</v>
      </c>
      <c r="G4" s="14" t="s">
        <v>2</v>
      </c>
      <c r="H4" s="15" t="s">
        <v>5</v>
      </c>
      <c r="I4" s="18" t="s">
        <v>58</v>
      </c>
      <c r="J4" s="18" t="s">
        <v>55</v>
      </c>
      <c r="K4" s="14">
        <v>90</v>
      </c>
      <c r="L4" s="14">
        <v>12</v>
      </c>
      <c r="M4" s="13">
        <v>44.6</v>
      </c>
      <c r="N4" s="20" t="s">
        <v>56</v>
      </c>
      <c r="O4" s="33" t="str">
        <f>VLOOKUP(N4,Reference!A:B,2,)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5" spans="1:15">
      <c r="A5" s="9">
        <v>4</v>
      </c>
      <c r="B5" s="10" t="s">
        <v>53</v>
      </c>
      <c r="C5" s="13">
        <v>34.799999999999997</v>
      </c>
      <c r="D5" s="13">
        <v>21.8</v>
      </c>
      <c r="E5" s="13">
        <v>19</v>
      </c>
      <c r="F5" s="14">
        <v>0.2</v>
      </c>
      <c r="G5" s="14" t="s">
        <v>2</v>
      </c>
      <c r="H5" s="15" t="s">
        <v>6</v>
      </c>
      <c r="I5" s="18" t="s">
        <v>59</v>
      </c>
      <c r="J5" s="18" t="s">
        <v>55</v>
      </c>
      <c r="K5" s="14">
        <v>90</v>
      </c>
      <c r="L5" s="14">
        <v>12</v>
      </c>
      <c r="M5" s="13">
        <v>3.4</v>
      </c>
      <c r="N5" s="20" t="s">
        <v>56</v>
      </c>
      <c r="O5" s="33" t="str">
        <f>VLOOKUP(N5,Reference!A:B,2,)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6" spans="1:15">
      <c r="A6" s="9">
        <v>5</v>
      </c>
      <c r="B6" s="10" t="s">
        <v>53</v>
      </c>
      <c r="C6" s="13">
        <v>34.799999999999997</v>
      </c>
      <c r="D6" s="13">
        <v>21.8</v>
      </c>
      <c r="E6" s="13">
        <v>19</v>
      </c>
      <c r="F6" s="14">
        <v>0.2</v>
      </c>
      <c r="G6" s="14" t="s">
        <v>2</v>
      </c>
      <c r="H6" s="15" t="s">
        <v>7</v>
      </c>
      <c r="I6" s="18" t="s">
        <v>59</v>
      </c>
      <c r="J6" s="18" t="s">
        <v>55</v>
      </c>
      <c r="K6" s="14">
        <v>90</v>
      </c>
      <c r="L6" s="14">
        <v>12</v>
      </c>
      <c r="M6" s="13">
        <v>27.7</v>
      </c>
      <c r="N6" s="20" t="s">
        <v>56</v>
      </c>
      <c r="O6" s="33" t="str">
        <f>VLOOKUP(N6,Reference!A:B,2,)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7" spans="1:15">
      <c r="A7" s="9">
        <v>6</v>
      </c>
      <c r="B7" s="10" t="s">
        <v>53</v>
      </c>
      <c r="C7" s="13">
        <v>34.799999999999997</v>
      </c>
      <c r="D7" s="13">
        <v>21.8</v>
      </c>
      <c r="E7" s="13">
        <v>19</v>
      </c>
      <c r="F7" s="14">
        <v>0.2</v>
      </c>
      <c r="G7" s="14" t="s">
        <v>2</v>
      </c>
      <c r="H7" s="15" t="s">
        <v>8</v>
      </c>
      <c r="I7" s="18" t="s">
        <v>59</v>
      </c>
      <c r="J7" s="18" t="s">
        <v>55</v>
      </c>
      <c r="K7" s="14">
        <v>90</v>
      </c>
      <c r="L7" s="14">
        <v>12</v>
      </c>
      <c r="M7" s="13">
        <v>24.7</v>
      </c>
      <c r="N7" s="20" t="s">
        <v>56</v>
      </c>
      <c r="O7" s="33" t="str">
        <f>VLOOKUP(N7,Reference!A:B,2,)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8" spans="1:15">
      <c r="A8" s="9">
        <v>7</v>
      </c>
      <c r="B8" s="10" t="s">
        <v>53</v>
      </c>
      <c r="C8" s="13">
        <v>34.799999999999997</v>
      </c>
      <c r="D8" s="13">
        <v>21.8</v>
      </c>
      <c r="E8" s="13">
        <v>19</v>
      </c>
      <c r="F8" s="14">
        <v>0.2</v>
      </c>
      <c r="G8" s="14" t="s">
        <v>2</v>
      </c>
      <c r="H8" s="15" t="s">
        <v>3</v>
      </c>
      <c r="I8" s="18" t="s">
        <v>54</v>
      </c>
      <c r="J8" s="18" t="s">
        <v>55</v>
      </c>
      <c r="K8" s="14">
        <v>50</v>
      </c>
      <c r="L8" s="14">
        <v>12</v>
      </c>
      <c r="M8" s="13">
        <v>60.8</v>
      </c>
      <c r="N8" s="20" t="s">
        <v>56</v>
      </c>
      <c r="O8" s="33" t="str">
        <f>VLOOKUP(N8,Reference!A:B,2,)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9" spans="1:15">
      <c r="A9" s="9">
        <v>8</v>
      </c>
      <c r="B9" s="10" t="s">
        <v>53</v>
      </c>
      <c r="C9" s="13">
        <v>34.799999999999997</v>
      </c>
      <c r="D9" s="13">
        <v>21.8</v>
      </c>
      <c r="E9" s="13">
        <v>19</v>
      </c>
      <c r="F9" s="14">
        <v>0.2</v>
      </c>
      <c r="G9" s="14" t="s">
        <v>2</v>
      </c>
      <c r="H9" s="15" t="s">
        <v>3</v>
      </c>
      <c r="I9" s="18" t="s">
        <v>54</v>
      </c>
      <c r="J9" s="18" t="s">
        <v>55</v>
      </c>
      <c r="K9" s="14">
        <v>70</v>
      </c>
      <c r="L9" s="14">
        <v>12</v>
      </c>
      <c r="M9" s="13">
        <v>76.400000000000006</v>
      </c>
      <c r="N9" s="20" t="s">
        <v>56</v>
      </c>
      <c r="O9" s="33" t="str">
        <f>VLOOKUP(N9,Reference!A:B,2,)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0" spans="1:15">
      <c r="A10" s="9">
        <v>9</v>
      </c>
      <c r="B10" s="10" t="s">
        <v>53</v>
      </c>
      <c r="C10" s="13">
        <v>34.799999999999997</v>
      </c>
      <c r="D10" s="13">
        <v>21.8</v>
      </c>
      <c r="E10" s="13">
        <v>19</v>
      </c>
      <c r="F10" s="14">
        <v>0.2</v>
      </c>
      <c r="G10" s="14" t="s">
        <v>2</v>
      </c>
      <c r="H10" s="15" t="s">
        <v>3</v>
      </c>
      <c r="I10" s="18" t="s">
        <v>54</v>
      </c>
      <c r="J10" s="18" t="s">
        <v>55</v>
      </c>
      <c r="K10" s="14">
        <v>90</v>
      </c>
      <c r="L10" s="14">
        <v>12</v>
      </c>
      <c r="M10" s="13">
        <v>81</v>
      </c>
      <c r="N10" s="20" t="s">
        <v>56</v>
      </c>
      <c r="O10" s="33" t="str">
        <f>VLOOKUP(N10,Reference!A:B,2,)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1" spans="1:15">
      <c r="A11" s="9">
        <v>10</v>
      </c>
      <c r="B11" s="10" t="s">
        <v>53</v>
      </c>
      <c r="C11" s="13">
        <v>34.799999999999997</v>
      </c>
      <c r="D11" s="13">
        <v>21.8</v>
      </c>
      <c r="E11" s="13">
        <v>19</v>
      </c>
      <c r="F11" s="14">
        <v>0.2</v>
      </c>
      <c r="G11" s="14" t="s">
        <v>2</v>
      </c>
      <c r="H11" s="15" t="s">
        <v>3</v>
      </c>
      <c r="I11" s="18" t="s">
        <v>54</v>
      </c>
      <c r="J11" s="18" t="s">
        <v>55</v>
      </c>
      <c r="K11" s="14">
        <v>110</v>
      </c>
      <c r="L11" s="14">
        <v>12</v>
      </c>
      <c r="M11" s="13">
        <v>87.7</v>
      </c>
      <c r="N11" s="20" t="s">
        <v>56</v>
      </c>
      <c r="O11" s="33" t="str">
        <f>VLOOKUP(N11,Reference!A:B,2,)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2" spans="1:15">
      <c r="A12" s="9">
        <v>11</v>
      </c>
      <c r="B12" s="10" t="s">
        <v>53</v>
      </c>
      <c r="C12" s="13">
        <v>34.799999999999997</v>
      </c>
      <c r="D12" s="13">
        <v>21.8</v>
      </c>
      <c r="E12" s="13">
        <v>19</v>
      </c>
      <c r="F12" s="14">
        <v>0.2</v>
      </c>
      <c r="G12" s="14" t="s">
        <v>2</v>
      </c>
      <c r="H12" s="15" t="s">
        <v>3</v>
      </c>
      <c r="I12" s="18" t="s">
        <v>54</v>
      </c>
      <c r="J12" s="18" t="s">
        <v>55</v>
      </c>
      <c r="K12" s="14">
        <v>130</v>
      </c>
      <c r="L12" s="14">
        <v>12</v>
      </c>
      <c r="M12" s="13">
        <v>97.6</v>
      </c>
      <c r="N12" s="20" t="s">
        <v>56</v>
      </c>
      <c r="O12" s="33" t="str">
        <f>VLOOKUP(N12,Reference!A:B,2,)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3" spans="1:15">
      <c r="A13" s="9">
        <v>12</v>
      </c>
      <c r="B13" s="10" t="s">
        <v>53</v>
      </c>
      <c r="C13" s="13">
        <v>34.799999999999997</v>
      </c>
      <c r="D13" s="13">
        <v>21.8</v>
      </c>
      <c r="E13" s="13">
        <v>19</v>
      </c>
      <c r="F13" s="14">
        <v>0.2</v>
      </c>
      <c r="G13" s="14" t="s">
        <v>2</v>
      </c>
      <c r="H13" s="15" t="s">
        <v>3</v>
      </c>
      <c r="I13" s="18" t="s">
        <v>54</v>
      </c>
      <c r="J13" s="18" t="s">
        <v>55</v>
      </c>
      <c r="K13" s="14">
        <v>70</v>
      </c>
      <c r="L13" s="14">
        <v>1</v>
      </c>
      <c r="M13" s="13">
        <v>58.8</v>
      </c>
      <c r="N13" s="20" t="s">
        <v>56</v>
      </c>
      <c r="O13" s="33" t="str">
        <f>VLOOKUP(N13,Reference!A:B,2,)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4" spans="1:15">
      <c r="A14" s="9">
        <v>13</v>
      </c>
      <c r="B14" s="10" t="s">
        <v>53</v>
      </c>
      <c r="C14" s="13">
        <v>34.799999999999997</v>
      </c>
      <c r="D14" s="13">
        <v>21.8</v>
      </c>
      <c r="E14" s="13">
        <v>19</v>
      </c>
      <c r="F14" s="14">
        <v>0.2</v>
      </c>
      <c r="G14" s="14" t="s">
        <v>2</v>
      </c>
      <c r="H14" s="15" t="s">
        <v>3</v>
      </c>
      <c r="I14" s="18" t="s">
        <v>54</v>
      </c>
      <c r="J14" s="18" t="s">
        <v>55</v>
      </c>
      <c r="K14" s="14">
        <v>70</v>
      </c>
      <c r="L14" s="14">
        <v>6</v>
      </c>
      <c r="M14" s="13">
        <v>68.8</v>
      </c>
      <c r="N14" s="20" t="s">
        <v>56</v>
      </c>
      <c r="O14" s="33" t="str">
        <f>VLOOKUP(N14,Reference!A:B,2,)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5" spans="1:15">
      <c r="A15" s="9">
        <v>14</v>
      </c>
      <c r="B15" s="10" t="s">
        <v>53</v>
      </c>
      <c r="C15" s="13">
        <v>34.799999999999997</v>
      </c>
      <c r="D15" s="13">
        <v>21.8</v>
      </c>
      <c r="E15" s="13">
        <v>19</v>
      </c>
      <c r="F15" s="14">
        <v>0.2</v>
      </c>
      <c r="G15" s="14" t="s">
        <v>2</v>
      </c>
      <c r="H15" s="15" t="s">
        <v>3</v>
      </c>
      <c r="I15" s="18" t="s">
        <v>54</v>
      </c>
      <c r="J15" s="18" t="s">
        <v>55</v>
      </c>
      <c r="K15" s="14">
        <v>70</v>
      </c>
      <c r="L15" s="14">
        <v>9</v>
      </c>
      <c r="M15" s="13">
        <v>71.400000000000006</v>
      </c>
      <c r="N15" s="20" t="s">
        <v>56</v>
      </c>
      <c r="O15" s="33" t="str">
        <f>VLOOKUP(N15,Reference!A:B,2,)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6" spans="1:15">
      <c r="A16" s="9">
        <v>15</v>
      </c>
      <c r="B16" s="10" t="s">
        <v>53</v>
      </c>
      <c r="C16" s="13">
        <v>34.799999999999997</v>
      </c>
      <c r="D16" s="13">
        <v>21.8</v>
      </c>
      <c r="E16" s="13">
        <v>19</v>
      </c>
      <c r="F16" s="14">
        <v>0.2</v>
      </c>
      <c r="G16" s="14" t="s">
        <v>2</v>
      </c>
      <c r="H16" s="15" t="s">
        <v>3</v>
      </c>
      <c r="I16" s="18" t="s">
        <v>54</v>
      </c>
      <c r="J16" s="18" t="s">
        <v>55</v>
      </c>
      <c r="K16" s="14">
        <v>70</v>
      </c>
      <c r="L16" s="14">
        <v>24</v>
      </c>
      <c r="M16" s="13">
        <v>80.8</v>
      </c>
      <c r="N16" s="20" t="s">
        <v>56</v>
      </c>
      <c r="O16" s="33" t="str">
        <f>VLOOKUP(N16,Reference!A:B,2,)</f>
        <v>Zhao, Z.; Chen, X.; Ali, M. F.; Abdeltawab, A. A.; Yakout, S. M.; Yu, G. Pretreatment of wheat straw using basic ethanolamine-based deep eutectic solvents for improving enzymatic hydrolysis. Bioresource Technology 2018, 263, 325-333. DOI: https://doi.org/10.1016/j.biortech.2018.05.016.</v>
      </c>
    </row>
    <row r="17" spans="1:15">
      <c r="A17" s="9">
        <v>16</v>
      </c>
      <c r="B17" s="10" t="s">
        <v>53</v>
      </c>
      <c r="C17" s="13">
        <v>38.1</v>
      </c>
      <c r="D17" s="13">
        <v>27.3</v>
      </c>
      <c r="E17" s="13">
        <v>22.4</v>
      </c>
      <c r="F17" s="14">
        <v>0.83</v>
      </c>
      <c r="G17" s="14" t="s">
        <v>2</v>
      </c>
      <c r="H17" s="14" t="s">
        <v>9</v>
      </c>
      <c r="I17" s="18" t="s">
        <v>59</v>
      </c>
      <c r="J17" s="18" t="s">
        <v>58</v>
      </c>
      <c r="K17" s="14">
        <v>120</v>
      </c>
      <c r="L17" s="14">
        <v>6</v>
      </c>
      <c r="M17" s="13">
        <v>85.4</v>
      </c>
      <c r="N17" s="20" t="s">
        <v>60</v>
      </c>
      <c r="O17" s="33" t="str">
        <f>VLOOKUP(N17,Reference!A:B,2,)</f>
        <v>Lou, R.; Ma, R.; Lin, K.-t.; Ahamed, A.; Zhang, X. Facile Extraction of Wheat Straw by Deep Eutectic Solvent (DES) to Produce Lignin Nanoparticles. ACS Sustainable Chemistry &amp; Engineering 2019, 7 (12), 10248-10256. DOI: 10.1021/acssuschemeng.8b05816.</v>
      </c>
    </row>
    <row r="18" spans="1:15">
      <c r="A18" s="9">
        <v>17</v>
      </c>
      <c r="B18" s="10" t="s">
        <v>53</v>
      </c>
      <c r="C18" s="13">
        <v>38.1</v>
      </c>
      <c r="D18" s="13">
        <v>27.3</v>
      </c>
      <c r="E18" s="13">
        <v>22.4</v>
      </c>
      <c r="F18" s="14">
        <v>0.83</v>
      </c>
      <c r="G18" s="14" t="s">
        <v>2</v>
      </c>
      <c r="H18" s="14" t="s">
        <v>9</v>
      </c>
      <c r="I18" s="18" t="s">
        <v>59</v>
      </c>
      <c r="J18" s="18" t="s">
        <v>58</v>
      </c>
      <c r="K18" s="14">
        <v>120</v>
      </c>
      <c r="L18" s="14">
        <v>12</v>
      </c>
      <c r="M18" s="13">
        <v>85.9</v>
      </c>
      <c r="N18" s="20" t="s">
        <v>60</v>
      </c>
      <c r="O18" s="33" t="str">
        <f>VLOOKUP(N18,Reference!A:B,2,)</f>
        <v>Lou, R.; Ma, R.; Lin, K.-t.; Ahamed, A.; Zhang, X. Facile Extraction of Wheat Straw by Deep Eutectic Solvent (DES) to Produce Lignin Nanoparticles. ACS Sustainable Chemistry &amp; Engineering 2019, 7 (12), 10248-10256. DOI: 10.1021/acssuschemeng.8b05816.</v>
      </c>
    </row>
    <row r="19" spans="1:15">
      <c r="A19" s="9">
        <v>18</v>
      </c>
      <c r="B19" s="10" t="s">
        <v>53</v>
      </c>
      <c r="C19" s="13">
        <v>38.1</v>
      </c>
      <c r="D19" s="13">
        <v>27.3</v>
      </c>
      <c r="E19" s="13">
        <v>22.4</v>
      </c>
      <c r="F19" s="14">
        <v>0.83</v>
      </c>
      <c r="G19" s="14" t="s">
        <v>2</v>
      </c>
      <c r="H19" s="14" t="s">
        <v>9</v>
      </c>
      <c r="I19" s="18" t="s">
        <v>59</v>
      </c>
      <c r="J19" s="18" t="s">
        <v>58</v>
      </c>
      <c r="K19" s="14">
        <v>120</v>
      </c>
      <c r="L19" s="14">
        <v>24</v>
      </c>
      <c r="M19" s="13">
        <v>83</v>
      </c>
      <c r="N19" s="20" t="s">
        <v>60</v>
      </c>
      <c r="O19" s="33" t="str">
        <f>VLOOKUP(N19,Reference!A:B,2,)</f>
        <v>Lou, R.; Ma, R.; Lin, K.-t.; Ahamed, A.; Zhang, X. Facile Extraction of Wheat Straw by Deep Eutectic Solvent (DES) to Produce Lignin Nanoparticles. ACS Sustainable Chemistry &amp; Engineering 2019, 7 (12), 10248-10256. DOI: 10.1021/acssuschemeng.8b05816.</v>
      </c>
    </row>
    <row r="20" spans="1:15">
      <c r="A20" s="9">
        <v>19</v>
      </c>
      <c r="B20" s="10" t="s">
        <v>53</v>
      </c>
      <c r="C20" s="13">
        <v>38.1</v>
      </c>
      <c r="D20" s="13">
        <v>27.3</v>
      </c>
      <c r="E20" s="13">
        <v>22.4</v>
      </c>
      <c r="F20" s="14">
        <v>0.83</v>
      </c>
      <c r="G20" s="14" t="s">
        <v>2</v>
      </c>
      <c r="H20" s="14" t="s">
        <v>9</v>
      </c>
      <c r="I20" s="18" t="s">
        <v>59</v>
      </c>
      <c r="J20" s="18" t="s">
        <v>58</v>
      </c>
      <c r="K20" s="14">
        <v>150</v>
      </c>
      <c r="L20" s="14">
        <v>6</v>
      </c>
      <c r="M20" s="13">
        <v>82.8</v>
      </c>
      <c r="N20" s="20" t="s">
        <v>60</v>
      </c>
      <c r="O20" s="33" t="str">
        <f>VLOOKUP(N20,Reference!A:B,2,)</f>
        <v>Lou, R.; Ma, R.; Lin, K.-t.; Ahamed, A.; Zhang, X. Facile Extraction of Wheat Straw by Deep Eutectic Solvent (DES) to Produce Lignin Nanoparticles. ACS Sustainable Chemistry &amp; Engineering 2019, 7 (12), 10248-10256. DOI: 10.1021/acssuschemeng.8b05816.</v>
      </c>
    </row>
    <row r="21" spans="1:15">
      <c r="A21" s="9">
        <v>20</v>
      </c>
      <c r="B21" s="10" t="s">
        <v>53</v>
      </c>
      <c r="C21" s="13">
        <v>38.1</v>
      </c>
      <c r="D21" s="13">
        <v>27.3</v>
      </c>
      <c r="E21" s="13">
        <v>22.4</v>
      </c>
      <c r="F21" s="14">
        <v>0.83</v>
      </c>
      <c r="G21" s="14" t="s">
        <v>2</v>
      </c>
      <c r="H21" s="14" t="s">
        <v>9</v>
      </c>
      <c r="I21" s="18" t="s">
        <v>59</v>
      </c>
      <c r="J21" s="18" t="s">
        <v>58</v>
      </c>
      <c r="K21" s="14">
        <v>150</v>
      </c>
      <c r="L21" s="14">
        <v>12</v>
      </c>
      <c r="M21" s="13">
        <v>42.2</v>
      </c>
      <c r="N21" s="20" t="s">
        <v>60</v>
      </c>
      <c r="O21" s="33" t="str">
        <f>VLOOKUP(N21,Reference!A:B,2,)</f>
        <v>Lou, R.; Ma, R.; Lin, K.-t.; Ahamed, A.; Zhang, X. Facile Extraction of Wheat Straw by Deep Eutectic Solvent (DES) to Produce Lignin Nanoparticles. ACS Sustainable Chemistry &amp; Engineering 2019, 7 (12), 10248-10256. DOI: 10.1021/acssuschemeng.8b05816.</v>
      </c>
    </row>
    <row r="22" spans="1:15">
      <c r="A22" s="9">
        <v>21</v>
      </c>
      <c r="B22" s="10" t="s">
        <v>53</v>
      </c>
      <c r="C22" s="13">
        <v>38.1</v>
      </c>
      <c r="D22" s="13">
        <v>27.3</v>
      </c>
      <c r="E22" s="13">
        <v>22.4</v>
      </c>
      <c r="F22" s="14">
        <v>0.83</v>
      </c>
      <c r="G22" s="14" t="s">
        <v>2</v>
      </c>
      <c r="H22" s="14" t="s">
        <v>9</v>
      </c>
      <c r="I22" s="18" t="s">
        <v>59</v>
      </c>
      <c r="J22" s="18" t="s">
        <v>58</v>
      </c>
      <c r="K22" s="14">
        <v>150</v>
      </c>
      <c r="L22" s="14">
        <v>24</v>
      </c>
      <c r="M22" s="13">
        <v>34.4</v>
      </c>
      <c r="N22" s="20" t="s">
        <v>60</v>
      </c>
      <c r="O22" s="33" t="str">
        <f>VLOOKUP(N22,Reference!A:B,2,)</f>
        <v>Lou, R.; Ma, R.; Lin, K.-t.; Ahamed, A.; Zhang, X. Facile Extraction of Wheat Straw by Deep Eutectic Solvent (DES) to Produce Lignin Nanoparticles. ACS Sustainable Chemistry &amp; Engineering 2019, 7 (12), 10248-10256. DOI: 10.1021/acssuschemeng.8b05816.</v>
      </c>
    </row>
    <row r="23" spans="1:15">
      <c r="A23" s="9">
        <v>22</v>
      </c>
      <c r="B23" s="10" t="s">
        <v>53</v>
      </c>
      <c r="C23" s="13">
        <v>40.799999999999997</v>
      </c>
      <c r="D23" s="13">
        <v>29.2</v>
      </c>
      <c r="E23" s="13">
        <v>22.4</v>
      </c>
      <c r="F23" s="13">
        <v>0.38</v>
      </c>
      <c r="G23" s="14" t="s">
        <v>2</v>
      </c>
      <c r="H23" s="14" t="s">
        <v>9</v>
      </c>
      <c r="I23" s="18" t="s">
        <v>65</v>
      </c>
      <c r="J23" s="18" t="s">
        <v>58</v>
      </c>
      <c r="K23" s="14">
        <v>120</v>
      </c>
      <c r="L23" s="14">
        <v>9</v>
      </c>
      <c r="M23" s="13">
        <v>81.8</v>
      </c>
      <c r="N23" s="20" t="s">
        <v>63</v>
      </c>
      <c r="O23" s="33" t="str">
        <f>VLOOKUP(N23,Reference!A:B,2,)</f>
        <v>Lin, K.-T.; Wang, C.; Guo, M. F.; Aprà, E.; Ma, R.; Ragauskas, A. J.; Zhang, X. Lignin with controlled structural properties by N-heterocycle-based deep eutectic solvent extraction. Proceedings of the National Academy of Sciences 2023, 120 (32), e2307323120. DOI: 10.1073/pnas.2307323120(2023 ).</v>
      </c>
    </row>
    <row r="24" spans="1:15">
      <c r="A24" s="9">
        <v>23</v>
      </c>
      <c r="B24" s="10" t="s">
        <v>53</v>
      </c>
      <c r="C24" s="13">
        <v>35.799999999999997</v>
      </c>
      <c r="D24" s="13">
        <v>20.399999999999999</v>
      </c>
      <c r="E24" s="13">
        <v>20.5</v>
      </c>
      <c r="F24" s="14">
        <v>0.83</v>
      </c>
      <c r="G24" s="14" t="s">
        <v>2</v>
      </c>
      <c r="H24" s="14" t="s">
        <v>11</v>
      </c>
      <c r="I24" s="14">
        <v>1.2330000000000001</v>
      </c>
      <c r="J24" s="18" t="s">
        <v>67</v>
      </c>
      <c r="K24" s="14">
        <v>60</v>
      </c>
      <c r="L24" s="14">
        <v>0.16669999999999999</v>
      </c>
      <c r="M24" s="13">
        <v>42.9</v>
      </c>
      <c r="N24" s="20" t="s">
        <v>66</v>
      </c>
      <c r="O24" s="33" t="str">
        <f>VLOOKUP(N24,Reference!A:B,2,)</f>
        <v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v>
      </c>
    </row>
    <row r="25" spans="1:15">
      <c r="A25" s="9">
        <v>24</v>
      </c>
      <c r="B25" s="10" t="s">
        <v>53</v>
      </c>
      <c r="C25" s="13">
        <v>35.799999999999997</v>
      </c>
      <c r="D25" s="13">
        <v>20.399999999999999</v>
      </c>
      <c r="E25" s="13">
        <v>20.5</v>
      </c>
      <c r="F25" s="14">
        <v>0.83</v>
      </c>
      <c r="G25" s="14" t="s">
        <v>2</v>
      </c>
      <c r="H25" s="14" t="s">
        <v>11</v>
      </c>
      <c r="I25" s="14">
        <v>1.2330000000000001</v>
      </c>
      <c r="J25" s="18" t="s">
        <v>67</v>
      </c>
      <c r="K25" s="14">
        <v>80</v>
      </c>
      <c r="L25" s="14">
        <v>0.33329999999999999</v>
      </c>
      <c r="M25" s="13">
        <v>58.6</v>
      </c>
      <c r="N25" s="20" t="s">
        <v>66</v>
      </c>
      <c r="O25" s="33" t="str">
        <f>VLOOKUP(N25,Reference!A:B,2,)</f>
        <v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v>
      </c>
    </row>
    <row r="26" spans="1:15">
      <c r="A26" s="9">
        <v>25</v>
      </c>
      <c r="B26" s="10" t="s">
        <v>53</v>
      </c>
      <c r="C26" s="13">
        <v>35.799999999999997</v>
      </c>
      <c r="D26" s="13">
        <v>20.399999999999999</v>
      </c>
      <c r="E26" s="13">
        <v>20.5</v>
      </c>
      <c r="F26" s="14">
        <v>0.83</v>
      </c>
      <c r="G26" s="14" t="s">
        <v>2</v>
      </c>
      <c r="H26" s="14" t="s">
        <v>11</v>
      </c>
      <c r="I26" s="14">
        <v>0.41099999999999998</v>
      </c>
      <c r="J26" s="18" t="s">
        <v>67</v>
      </c>
      <c r="K26" s="14">
        <v>70</v>
      </c>
      <c r="L26" s="14">
        <v>0.16669999999999999</v>
      </c>
      <c r="M26" s="13">
        <v>68.599999999999994</v>
      </c>
      <c r="N26" s="20" t="s">
        <v>66</v>
      </c>
      <c r="O26" s="33" t="str">
        <f>VLOOKUP(N26,Reference!A:B,2,)</f>
        <v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v>
      </c>
    </row>
    <row r="27" spans="1:15">
      <c r="A27" s="9">
        <v>26</v>
      </c>
      <c r="B27" s="10" t="s">
        <v>53</v>
      </c>
      <c r="C27" s="13">
        <v>35.799999999999997</v>
      </c>
      <c r="D27" s="13">
        <v>20.399999999999999</v>
      </c>
      <c r="E27" s="13">
        <v>20.5</v>
      </c>
      <c r="F27" s="14">
        <v>0.83</v>
      </c>
      <c r="G27" s="14" t="s">
        <v>2</v>
      </c>
      <c r="H27" s="14" t="s">
        <v>11</v>
      </c>
      <c r="I27" s="14">
        <v>0.41099999999999998</v>
      </c>
      <c r="J27" s="18" t="s">
        <v>67</v>
      </c>
      <c r="K27" s="14">
        <v>80</v>
      </c>
      <c r="L27" s="14">
        <v>0.33329999999999999</v>
      </c>
      <c r="M27" s="13">
        <v>88.9</v>
      </c>
      <c r="N27" s="20" t="s">
        <v>66</v>
      </c>
      <c r="O27" s="33" t="str">
        <f>VLOOKUP(N27,Reference!A:B,2,)</f>
        <v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v>
      </c>
    </row>
    <row r="28" spans="1:15">
      <c r="A28" s="9">
        <v>27</v>
      </c>
      <c r="B28" s="10" t="s">
        <v>53</v>
      </c>
      <c r="C28" s="13">
        <v>35.799999999999997</v>
      </c>
      <c r="D28" s="13">
        <v>20.399999999999999</v>
      </c>
      <c r="E28" s="13">
        <v>20.5</v>
      </c>
      <c r="F28" s="14">
        <v>0.83</v>
      </c>
      <c r="G28" s="14" t="s">
        <v>2</v>
      </c>
      <c r="H28" s="14" t="s">
        <v>11</v>
      </c>
      <c r="I28" s="14">
        <v>1.2330000000000001</v>
      </c>
      <c r="J28" s="18" t="s">
        <v>67</v>
      </c>
      <c r="K28" s="14">
        <v>80</v>
      </c>
      <c r="L28" s="14">
        <v>2</v>
      </c>
      <c r="M28" s="13">
        <v>87.1</v>
      </c>
      <c r="N28" s="20" t="s">
        <v>66</v>
      </c>
      <c r="O28" s="33" t="str">
        <f>VLOOKUP(N28,Reference!A:B,2,)</f>
        <v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v>
      </c>
    </row>
    <row r="29" spans="1:15">
      <c r="A29" s="9">
        <v>28</v>
      </c>
      <c r="B29" s="10" t="s">
        <v>53</v>
      </c>
      <c r="C29" s="13">
        <v>35.799999999999997</v>
      </c>
      <c r="D29" s="13">
        <v>20.399999999999999</v>
      </c>
      <c r="E29" s="13">
        <v>20.5</v>
      </c>
      <c r="F29" s="14">
        <v>0.83</v>
      </c>
      <c r="G29" s="14" t="s">
        <v>2</v>
      </c>
      <c r="H29" s="14" t="s">
        <v>11</v>
      </c>
      <c r="I29" s="14">
        <v>0.41099999999999998</v>
      </c>
      <c r="J29" s="18" t="s">
        <v>67</v>
      </c>
      <c r="K29" s="14">
        <v>80</v>
      </c>
      <c r="L29" s="14">
        <v>1</v>
      </c>
      <c r="M29" s="13">
        <v>87.1</v>
      </c>
      <c r="N29" s="20" t="s">
        <v>66</v>
      </c>
      <c r="O29" s="33" t="str">
        <f>VLOOKUP(N29,Reference!A:B,2,)</f>
        <v>Wang, W.; Gu, F.; Zhu, J. Y.; Sun, K.; Cai, Z.; Yao, S.; Wu, W.; Jin, Y. Fractionation of herbaceous biomass using a recyclable hydrotropic p–toluenesulfonic acid (p–TsOH)/choline chloride (ChCl) solvent system at low temperatures. Industrial Crops and Products 2020, 150, 112423. DOI: https://doi.org/10.1016/j.indcrop.2020.112423.</v>
      </c>
    </row>
    <row r="30" spans="1:15">
      <c r="A30" s="9">
        <v>29</v>
      </c>
      <c r="B30" s="10" t="s">
        <v>53</v>
      </c>
      <c r="C30" s="13">
        <v>40.35</v>
      </c>
      <c r="D30" s="13">
        <v>30.52</v>
      </c>
      <c r="E30" s="14">
        <v>24.16</v>
      </c>
      <c r="F30" s="13">
        <v>0.38</v>
      </c>
      <c r="G30" s="14" t="s">
        <v>2</v>
      </c>
      <c r="H30" s="14" t="s">
        <v>12</v>
      </c>
      <c r="I30" s="18" t="s">
        <v>59</v>
      </c>
      <c r="J30" s="18" t="s">
        <v>55</v>
      </c>
      <c r="K30" s="14">
        <v>100</v>
      </c>
      <c r="L30" s="14">
        <v>12</v>
      </c>
      <c r="M30" s="13">
        <v>35.67</v>
      </c>
      <c r="N30" s="20" t="s">
        <v>68</v>
      </c>
      <c r="O30" s="33" t="str">
        <f>VLOOKUP(N30,Reference!A:B,2,)</f>
        <v>Tan, J.; Yu, D.; Yuan, J.; Wu, H.; Luo, H.; Zhang, H.; Li, X.; Li, H.; Yang, S. Efficient delignification of wheat straw for microbial lipid production enabled by a novel ternary deep eutectic solvent containing ethylene glycol. Fuel 2023, 347, 128485. DOI: https://doi.org/10.1016/j.fuel.2023.128485.</v>
      </c>
    </row>
    <row r="31" spans="1:15">
      <c r="A31" s="9">
        <v>30</v>
      </c>
      <c r="B31" s="10" t="s">
        <v>53</v>
      </c>
      <c r="C31" s="13">
        <v>40.35</v>
      </c>
      <c r="D31" s="13">
        <v>30.52</v>
      </c>
      <c r="E31" s="14">
        <v>24.16</v>
      </c>
      <c r="F31" s="13">
        <v>0.38</v>
      </c>
      <c r="G31" s="14" t="s">
        <v>2</v>
      </c>
      <c r="H31" s="14" t="s">
        <v>13</v>
      </c>
      <c r="I31" s="18" t="s">
        <v>65</v>
      </c>
      <c r="J31" s="18" t="s">
        <v>55</v>
      </c>
      <c r="K31" s="14">
        <v>100</v>
      </c>
      <c r="L31" s="14">
        <v>12</v>
      </c>
      <c r="M31" s="13">
        <v>41.52</v>
      </c>
      <c r="N31" s="20" t="s">
        <v>68</v>
      </c>
      <c r="O31" s="33" t="str">
        <f>VLOOKUP(N31,Reference!A:B,2,)</f>
        <v>Tan, J.; Yu, D.; Yuan, J.; Wu, H.; Luo, H.; Zhang, H.; Li, X.; Li, H.; Yang, S. Efficient delignification of wheat straw for microbial lipid production enabled by a novel ternary deep eutectic solvent containing ethylene glycol. Fuel 2023, 347, 128485. DOI: https://doi.org/10.1016/j.fuel.2023.128485.</v>
      </c>
    </row>
    <row r="32" spans="1:15">
      <c r="A32" s="9">
        <v>31</v>
      </c>
      <c r="B32" s="10" t="s">
        <v>53</v>
      </c>
      <c r="C32" s="13">
        <v>40.799999999999997</v>
      </c>
      <c r="D32" s="13">
        <f>74.7-C32</f>
        <v>33.900000000000006</v>
      </c>
      <c r="E32" s="13">
        <v>17.3</v>
      </c>
      <c r="F32" s="13">
        <v>2.3E-2</v>
      </c>
      <c r="G32" s="14" t="s">
        <v>2</v>
      </c>
      <c r="H32" s="14" t="s">
        <v>7</v>
      </c>
      <c r="I32" s="14" t="s">
        <v>59</v>
      </c>
      <c r="J32" s="18" t="s">
        <v>55</v>
      </c>
      <c r="K32" s="14">
        <v>80</v>
      </c>
      <c r="L32" s="14">
        <v>24</v>
      </c>
      <c r="M32" s="13">
        <v>6.2770000000000001</v>
      </c>
      <c r="N32" s="20" t="s">
        <v>69</v>
      </c>
      <c r="O32" s="33" t="str">
        <f>VLOOKUP(N32,Reference!A:B,2,)</f>
        <v>Jablonsky; Skulcova; Kamenska; Vrska; Sima. Deep Eutectic Solvents: Fractionation of Wheat Straw. BIORESOURCES 2015, 2015,10(4) (-), 8039-8047.</v>
      </c>
    </row>
    <row r="33" spans="1:15">
      <c r="A33" s="9">
        <v>32</v>
      </c>
      <c r="B33" s="10" t="s">
        <v>53</v>
      </c>
      <c r="C33" s="13">
        <v>40.799999999999997</v>
      </c>
      <c r="D33" s="13">
        <v>33.9</v>
      </c>
      <c r="E33" s="13">
        <v>17.3</v>
      </c>
      <c r="F33" s="13">
        <v>2.3E-2</v>
      </c>
      <c r="G33" s="14" t="s">
        <v>2</v>
      </c>
      <c r="H33" s="14" t="s">
        <v>14</v>
      </c>
      <c r="I33" s="18" t="s">
        <v>65</v>
      </c>
      <c r="J33" s="18" t="s">
        <v>55</v>
      </c>
      <c r="K33" s="14">
        <v>60</v>
      </c>
      <c r="L33" s="14">
        <v>24</v>
      </c>
      <c r="M33" s="13">
        <v>12.83</v>
      </c>
      <c r="N33" s="20" t="s">
        <v>69</v>
      </c>
      <c r="O33" s="33" t="str">
        <f>VLOOKUP(N33,Reference!A:B,2,)</f>
        <v>Jablonsky; Skulcova; Kamenska; Vrska; Sima. Deep Eutectic Solvents: Fractionation of Wheat Straw. BIORESOURCES 2015, 2015,10(4) (-), 8039-8047.</v>
      </c>
    </row>
    <row r="34" spans="1:15">
      <c r="A34" s="9">
        <v>33</v>
      </c>
      <c r="B34" s="10" t="s">
        <v>53</v>
      </c>
      <c r="C34" s="13">
        <v>40.799999999999997</v>
      </c>
      <c r="D34" s="13">
        <v>33.9</v>
      </c>
      <c r="E34" s="13">
        <v>17.3</v>
      </c>
      <c r="F34" s="13">
        <v>2.3E-2</v>
      </c>
      <c r="G34" s="14" t="s">
        <v>2</v>
      </c>
      <c r="H34" s="14" t="s">
        <v>9</v>
      </c>
      <c r="I34" s="18" t="s">
        <v>61</v>
      </c>
      <c r="J34" s="18" t="s">
        <v>55</v>
      </c>
      <c r="K34" s="14">
        <v>60</v>
      </c>
      <c r="L34" s="14">
        <v>24</v>
      </c>
      <c r="M34" s="13">
        <v>14.62</v>
      </c>
      <c r="N34" s="20" t="s">
        <v>69</v>
      </c>
      <c r="O34" s="33" t="str">
        <f>VLOOKUP(N34,Reference!A:B,2,)</f>
        <v>Jablonsky; Skulcova; Kamenska; Vrska; Sima. Deep Eutectic Solvents: Fractionation of Wheat Straw. BIORESOURCES 2015, 2015,10(4) (-), 8039-8047.</v>
      </c>
    </row>
    <row r="35" spans="1:15">
      <c r="A35" s="9">
        <v>34</v>
      </c>
      <c r="B35" s="10" t="s">
        <v>53</v>
      </c>
      <c r="C35" s="13">
        <v>40.799999999999997</v>
      </c>
      <c r="D35" s="13">
        <v>33.9</v>
      </c>
      <c r="E35" s="13">
        <v>17.3</v>
      </c>
      <c r="F35" s="13">
        <v>2.3E-2</v>
      </c>
      <c r="G35" s="14" t="s">
        <v>2</v>
      </c>
      <c r="H35" s="14" t="s">
        <v>15</v>
      </c>
      <c r="I35" s="18" t="s">
        <v>65</v>
      </c>
      <c r="J35" s="18" t="s">
        <v>55</v>
      </c>
      <c r="K35" s="14">
        <v>80</v>
      </c>
      <c r="L35" s="14">
        <v>24</v>
      </c>
      <c r="M35" s="13">
        <v>21.62</v>
      </c>
      <c r="N35" s="20" t="s">
        <v>69</v>
      </c>
      <c r="O35" s="33" t="str">
        <f>VLOOKUP(N35,Reference!A:B,2,)</f>
        <v>Jablonsky; Skulcova; Kamenska; Vrska; Sima. Deep Eutectic Solvents: Fractionation of Wheat Straw. BIORESOURCES 2015, 2015,10(4) (-), 8039-8047.</v>
      </c>
    </row>
    <row r="36" spans="1:15">
      <c r="A36" s="9">
        <v>35</v>
      </c>
      <c r="B36" s="10" t="s">
        <v>53</v>
      </c>
      <c r="C36" s="13">
        <v>40.799999999999997</v>
      </c>
      <c r="D36" s="13">
        <v>33.9</v>
      </c>
      <c r="E36" s="13">
        <v>17.3</v>
      </c>
      <c r="F36" s="13">
        <v>2.3E-2</v>
      </c>
      <c r="G36" s="14" t="s">
        <v>2</v>
      </c>
      <c r="H36" s="14" t="s">
        <v>9</v>
      </c>
      <c r="I36" s="18" t="s">
        <v>58</v>
      </c>
      <c r="J36" s="18" t="s">
        <v>55</v>
      </c>
      <c r="K36" s="14">
        <v>60</v>
      </c>
      <c r="L36" s="14">
        <v>24</v>
      </c>
      <c r="M36" s="13">
        <v>29.13</v>
      </c>
      <c r="N36" s="20" t="s">
        <v>69</v>
      </c>
      <c r="O36" s="33" t="str">
        <f>VLOOKUP(N36,Reference!A:B,2,)</f>
        <v>Jablonsky; Skulcova; Kamenska; Vrska; Sima. Deep Eutectic Solvents: Fractionation of Wheat Straw. BIORESOURCES 2015, 2015,10(4) (-), 8039-8047.</v>
      </c>
    </row>
    <row r="37" spans="1:15">
      <c r="A37" s="9">
        <v>36</v>
      </c>
      <c r="B37" s="10" t="s">
        <v>53</v>
      </c>
      <c r="C37" s="13">
        <v>40.799999999999997</v>
      </c>
      <c r="D37" s="13">
        <v>33.9</v>
      </c>
      <c r="E37" s="13">
        <v>17.3</v>
      </c>
      <c r="F37" s="13">
        <v>2.3E-2</v>
      </c>
      <c r="G37" s="14" t="s">
        <v>2</v>
      </c>
      <c r="H37" s="14" t="s">
        <v>16</v>
      </c>
      <c r="I37" s="18" t="s">
        <v>65</v>
      </c>
      <c r="J37" s="18" t="s">
        <v>55</v>
      </c>
      <c r="K37" s="14">
        <v>60</v>
      </c>
      <c r="L37" s="14">
        <v>24</v>
      </c>
      <c r="M37" s="13">
        <v>57.86</v>
      </c>
      <c r="N37" s="20" t="s">
        <v>69</v>
      </c>
      <c r="O37" s="33" t="str">
        <f>VLOOKUP(N37,Reference!A:B,2,)</f>
        <v>Jablonsky; Skulcova; Kamenska; Vrska; Sima. Deep Eutectic Solvents: Fractionation of Wheat Straw. BIORESOURCES 2015, 2015,10(4) (-), 8039-8047.</v>
      </c>
    </row>
    <row r="38" spans="1:15">
      <c r="A38" s="9">
        <v>37</v>
      </c>
      <c r="B38" s="10" t="s">
        <v>53</v>
      </c>
      <c r="C38" s="13">
        <v>36.770000000000003</v>
      </c>
      <c r="D38" s="13">
        <v>24.98</v>
      </c>
      <c r="E38" s="13">
        <v>23.59</v>
      </c>
      <c r="F38" s="13">
        <v>0.25</v>
      </c>
      <c r="G38" s="14" t="s">
        <v>2</v>
      </c>
      <c r="H38" s="14" t="s">
        <v>9</v>
      </c>
      <c r="I38" s="14" t="s">
        <v>59</v>
      </c>
      <c r="J38" s="18" t="s">
        <v>55</v>
      </c>
      <c r="K38" s="14">
        <v>90</v>
      </c>
      <c r="L38" s="14">
        <v>6</v>
      </c>
      <c r="M38" s="13">
        <v>27.53</v>
      </c>
      <c r="N38" s="20" t="s">
        <v>70</v>
      </c>
      <c r="O38" s="33" t="str">
        <f>VLOOKUP(N38,Reference!A:B,2,)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39" spans="1:15">
      <c r="A39" s="9">
        <v>38</v>
      </c>
      <c r="B39" s="10" t="s">
        <v>53</v>
      </c>
      <c r="C39" s="13">
        <v>36.770000000000003</v>
      </c>
      <c r="D39" s="13">
        <v>24.98</v>
      </c>
      <c r="E39" s="13">
        <v>23.59</v>
      </c>
      <c r="F39" s="13">
        <v>0.25</v>
      </c>
      <c r="G39" s="14" t="s">
        <v>2</v>
      </c>
      <c r="H39" s="14" t="s">
        <v>9</v>
      </c>
      <c r="I39" s="14" t="s">
        <v>59</v>
      </c>
      <c r="J39" s="18" t="s">
        <v>55</v>
      </c>
      <c r="K39" s="14">
        <v>90</v>
      </c>
      <c r="L39" s="14">
        <v>12</v>
      </c>
      <c r="M39" s="13">
        <v>50.42</v>
      </c>
      <c r="N39" s="20" t="s">
        <v>70</v>
      </c>
      <c r="O39" s="33" t="str">
        <f>VLOOKUP(N39,Reference!A:B,2,)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0" spans="1:15">
      <c r="A40" s="9">
        <v>39</v>
      </c>
      <c r="B40" s="10" t="s">
        <v>53</v>
      </c>
      <c r="C40" s="13">
        <v>36.770000000000003</v>
      </c>
      <c r="D40" s="13">
        <v>24.98</v>
      </c>
      <c r="E40" s="13">
        <v>23.59</v>
      </c>
      <c r="F40" s="13">
        <v>0.25</v>
      </c>
      <c r="G40" s="14" t="s">
        <v>2</v>
      </c>
      <c r="H40" s="14" t="s">
        <v>9</v>
      </c>
      <c r="I40" s="14" t="s">
        <v>59</v>
      </c>
      <c r="J40" s="18" t="s">
        <v>55</v>
      </c>
      <c r="K40" s="14">
        <v>120</v>
      </c>
      <c r="L40" s="14">
        <v>6</v>
      </c>
      <c r="M40" s="13">
        <v>75.180000000000007</v>
      </c>
      <c r="N40" s="20" t="s">
        <v>70</v>
      </c>
      <c r="O40" s="33" t="str">
        <f>VLOOKUP(N40,Reference!A:B,2,)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1" spans="1:15">
      <c r="A41" s="9">
        <v>40</v>
      </c>
      <c r="B41" s="10" t="s">
        <v>53</v>
      </c>
      <c r="C41" s="13">
        <v>36.770000000000003</v>
      </c>
      <c r="D41" s="13">
        <v>24.98</v>
      </c>
      <c r="E41" s="13">
        <v>23.59</v>
      </c>
      <c r="F41" s="13">
        <v>0.25</v>
      </c>
      <c r="G41" s="14" t="s">
        <v>2</v>
      </c>
      <c r="H41" s="14" t="s">
        <v>9</v>
      </c>
      <c r="I41" s="14" t="s">
        <v>59</v>
      </c>
      <c r="J41" s="18" t="s">
        <v>55</v>
      </c>
      <c r="K41" s="14">
        <v>120</v>
      </c>
      <c r="L41" s="14">
        <v>12</v>
      </c>
      <c r="M41" s="13">
        <v>88.16</v>
      </c>
      <c r="N41" s="20" t="s">
        <v>70</v>
      </c>
      <c r="O41" s="33" t="str">
        <f>VLOOKUP(N41,Reference!A:B,2,)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2" spans="1:15">
      <c r="A42" s="9">
        <v>41</v>
      </c>
      <c r="B42" s="10" t="s">
        <v>53</v>
      </c>
      <c r="C42" s="13">
        <v>36.770000000000003</v>
      </c>
      <c r="D42" s="13">
        <v>24.98</v>
      </c>
      <c r="E42" s="13">
        <v>23.59</v>
      </c>
      <c r="F42" s="13">
        <v>0.25</v>
      </c>
      <c r="G42" s="14" t="s">
        <v>2</v>
      </c>
      <c r="H42" s="14" t="s">
        <v>9</v>
      </c>
      <c r="I42" s="14" t="s">
        <v>59</v>
      </c>
      <c r="J42" s="18" t="s">
        <v>55</v>
      </c>
      <c r="K42" s="14">
        <v>150</v>
      </c>
      <c r="L42" s="14">
        <v>6</v>
      </c>
      <c r="M42" s="13">
        <v>91.17</v>
      </c>
      <c r="N42" s="20" t="s">
        <v>70</v>
      </c>
      <c r="O42" s="33" t="str">
        <f>VLOOKUP(N42,Reference!A:B,2,)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3" spans="1:15">
      <c r="A43" s="9">
        <v>42</v>
      </c>
      <c r="B43" s="10" t="s">
        <v>53</v>
      </c>
      <c r="C43" s="13">
        <v>36.770000000000003</v>
      </c>
      <c r="D43" s="13">
        <v>24.98</v>
      </c>
      <c r="E43" s="13">
        <v>23.59</v>
      </c>
      <c r="F43" s="13">
        <v>0.25</v>
      </c>
      <c r="G43" s="14" t="s">
        <v>2</v>
      </c>
      <c r="H43" s="14" t="s">
        <v>9</v>
      </c>
      <c r="I43" s="14" t="s">
        <v>59</v>
      </c>
      <c r="J43" s="18" t="s">
        <v>55</v>
      </c>
      <c r="K43" s="14">
        <v>150</v>
      </c>
      <c r="L43" s="14">
        <v>12</v>
      </c>
      <c r="M43" s="13">
        <v>86.61</v>
      </c>
      <c r="N43" s="20" t="s">
        <v>70</v>
      </c>
      <c r="O43" s="33" t="str">
        <f>VLOOKUP(N43,Reference!A:B,2,)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4" spans="1:15">
      <c r="A44" s="9">
        <v>43</v>
      </c>
      <c r="B44" s="10" t="s">
        <v>53</v>
      </c>
      <c r="C44" s="13">
        <v>36.770000000000003</v>
      </c>
      <c r="D44" s="13">
        <v>24.98</v>
      </c>
      <c r="E44" s="13">
        <v>23.59</v>
      </c>
      <c r="F44" s="13">
        <v>0.25</v>
      </c>
      <c r="G44" s="14" t="s">
        <v>2</v>
      </c>
      <c r="H44" s="14" t="s">
        <v>9</v>
      </c>
      <c r="I44" s="14" t="s">
        <v>59</v>
      </c>
      <c r="J44" s="18" t="s">
        <v>55</v>
      </c>
      <c r="K44" s="14">
        <v>180</v>
      </c>
      <c r="L44" s="14">
        <v>6</v>
      </c>
      <c r="M44" s="13">
        <v>73.400000000000006</v>
      </c>
      <c r="N44" s="20" t="s">
        <v>70</v>
      </c>
      <c r="O44" s="33" t="str">
        <f>VLOOKUP(N44,Reference!A:B,2,)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5" spans="1:15">
      <c r="A45" s="9">
        <v>44</v>
      </c>
      <c r="B45" s="10" t="s">
        <v>53</v>
      </c>
      <c r="C45" s="13">
        <v>36.770000000000003</v>
      </c>
      <c r="D45" s="13">
        <v>24.98</v>
      </c>
      <c r="E45" s="13">
        <v>23.59</v>
      </c>
      <c r="F45" s="13">
        <v>0.25</v>
      </c>
      <c r="G45" s="14" t="s">
        <v>2</v>
      </c>
      <c r="H45" s="14" t="s">
        <v>9</v>
      </c>
      <c r="I45" s="14" t="s">
        <v>59</v>
      </c>
      <c r="J45" s="18" t="s">
        <v>55</v>
      </c>
      <c r="K45" s="14">
        <v>180</v>
      </c>
      <c r="L45" s="14">
        <v>12</v>
      </c>
      <c r="M45" s="13">
        <v>68.709999999999994</v>
      </c>
      <c r="N45" s="20" t="s">
        <v>70</v>
      </c>
      <c r="O45" s="33" t="str">
        <f>VLOOKUP(N45,Reference!A:B,2,)</f>
        <v>Ma, H.; Fu, P.; Zhao, J.; Lin, X.; Wu, W.; Yu, Z.; Xia, C.; Wang, Q.; Gao, M.; Zhou, J. Pretreatment of Wheat Straw Lignocelluloses by Deep Eutectic Solvent for Lignin Extraction. Molecules 2022, 27 (22), 7955.</v>
      </c>
    </row>
    <row r="46" spans="1:15">
      <c r="A46" s="9">
        <v>45</v>
      </c>
      <c r="B46" s="10" t="s">
        <v>53</v>
      </c>
      <c r="C46" s="13">
        <v>40</v>
      </c>
      <c r="D46" s="13">
        <v>28</v>
      </c>
      <c r="E46" s="13">
        <v>9</v>
      </c>
      <c r="F46" s="14">
        <v>10</v>
      </c>
      <c r="G46" s="14" t="s">
        <v>2</v>
      </c>
      <c r="H46" s="14" t="s">
        <v>9</v>
      </c>
      <c r="I46" s="18" t="s">
        <v>59</v>
      </c>
      <c r="J46" s="18" t="s">
        <v>55</v>
      </c>
      <c r="K46" s="14">
        <v>60</v>
      </c>
      <c r="L46" s="14">
        <v>12</v>
      </c>
      <c r="M46" s="13">
        <v>51</v>
      </c>
      <c r="N46" s="20" t="s">
        <v>71</v>
      </c>
      <c r="O46" s="33" t="str">
        <f>VLOOKUP(N46,Reference!A:B,2,)</f>
        <v>Kumar, A. K.; Parikh, B. S.; Pravakar, M. Natural deep eutectic solvent mediated pretreatment of rice straw: bioanalytical characterization of lignin extract and enzymatic hydrolysis of pretreated biomass residue. Environmental Science and Pollution Research 2016, 23 (10), 9265-9275. DOI: 10.1007/s11356-015-4780-4.</v>
      </c>
    </row>
    <row r="47" spans="1:15">
      <c r="A47" s="9">
        <v>46</v>
      </c>
      <c r="B47" s="10" t="s">
        <v>53</v>
      </c>
      <c r="C47" s="13">
        <v>40</v>
      </c>
      <c r="D47" s="13">
        <v>28</v>
      </c>
      <c r="E47" s="13">
        <v>9</v>
      </c>
      <c r="F47" s="14">
        <v>10</v>
      </c>
      <c r="G47" s="14" t="s">
        <v>2</v>
      </c>
      <c r="H47" s="14" t="s">
        <v>9</v>
      </c>
      <c r="I47" s="18" t="s">
        <v>64</v>
      </c>
      <c r="J47" s="18" t="s">
        <v>55</v>
      </c>
      <c r="K47" s="14">
        <v>60</v>
      </c>
      <c r="L47" s="14">
        <v>12</v>
      </c>
      <c r="M47" s="13">
        <v>60</v>
      </c>
      <c r="N47" s="20" t="s">
        <v>71</v>
      </c>
      <c r="O47" s="33" t="str">
        <f>VLOOKUP(N47,Reference!A:B,2,)</f>
        <v>Kumar, A. K.; Parikh, B. S.; Pravakar, M. Natural deep eutectic solvent mediated pretreatment of rice straw: bioanalytical characterization of lignin extract and enzymatic hydrolysis of pretreated biomass residue. Environmental Science and Pollution Research 2016, 23 (10), 9265-9275. DOI: 10.1007/s11356-015-4780-4.</v>
      </c>
    </row>
    <row r="48" spans="1:15">
      <c r="A48" s="9">
        <v>47</v>
      </c>
      <c r="B48" s="10" t="s">
        <v>53</v>
      </c>
      <c r="C48" s="13">
        <v>40</v>
      </c>
      <c r="D48" s="13">
        <v>28</v>
      </c>
      <c r="E48" s="13">
        <v>9</v>
      </c>
      <c r="F48" s="14">
        <v>10</v>
      </c>
      <c r="G48" s="14" t="s">
        <v>2</v>
      </c>
      <c r="H48" s="14" t="s">
        <v>9</v>
      </c>
      <c r="I48" s="18" t="s">
        <v>61</v>
      </c>
      <c r="J48" s="18" t="s">
        <v>55</v>
      </c>
      <c r="K48" s="14">
        <v>60</v>
      </c>
      <c r="L48" s="14">
        <v>12</v>
      </c>
      <c r="M48" s="13">
        <v>59</v>
      </c>
      <c r="N48" s="20" t="s">
        <v>71</v>
      </c>
      <c r="O48" s="33" t="str">
        <f>VLOOKUP(N48,Reference!A:B,2,)</f>
        <v>Kumar, A. K.; Parikh, B. S.; Pravakar, M. Natural deep eutectic solvent mediated pretreatment of rice straw: bioanalytical characterization of lignin extract and enzymatic hydrolysis of pretreated biomass residue. Environmental Science and Pollution Research 2016, 23 (10), 9265-9275. DOI: 10.1007/s11356-015-4780-4.</v>
      </c>
    </row>
    <row r="49" spans="1:15">
      <c r="A49" s="9">
        <v>48</v>
      </c>
      <c r="B49" s="10" t="s">
        <v>53</v>
      </c>
      <c r="C49" s="13">
        <v>35.1</v>
      </c>
      <c r="D49" s="13">
        <v>20.6</v>
      </c>
      <c r="E49" s="13">
        <v>22.59</v>
      </c>
      <c r="F49" s="14">
        <v>0.4</v>
      </c>
      <c r="G49" s="14" t="s">
        <v>2</v>
      </c>
      <c r="H49" s="14" t="s">
        <v>7</v>
      </c>
      <c r="I49" s="18" t="s">
        <v>59</v>
      </c>
      <c r="J49" s="18" t="s">
        <v>55</v>
      </c>
      <c r="K49" s="14">
        <v>120</v>
      </c>
      <c r="L49" s="14">
        <v>12</v>
      </c>
      <c r="M49" s="13">
        <v>55.51</v>
      </c>
      <c r="N49" s="20" t="s">
        <v>72</v>
      </c>
      <c r="O49" s="33" t="str">
        <f>VLOOKUP(N49,Reference!A:B,2,)</f>
        <v>Hou, X.-D.; Feng, G.-J.; Ye, M.; Huang, C.-M.; Zhang, Y. Significantly enhanced enzymatic hydrolysis of rice straw via a high-performance two-stage deep eutectic solvents synergistic pretreatment. Bioresource Technology 2017, 238, 139-146. DOI: https://doi.org/10.1016/j.biortech.2017.04.027.</v>
      </c>
    </row>
    <row r="50" spans="1:15">
      <c r="A50" s="9">
        <v>49</v>
      </c>
      <c r="B50" s="10" t="s">
        <v>53</v>
      </c>
      <c r="C50" s="13">
        <v>35.1</v>
      </c>
      <c r="D50" s="13">
        <v>20.6</v>
      </c>
      <c r="E50" s="13">
        <v>22.59</v>
      </c>
      <c r="F50" s="14">
        <v>0.4</v>
      </c>
      <c r="G50" s="14" t="s">
        <v>2</v>
      </c>
      <c r="H50" s="14" t="s">
        <v>17</v>
      </c>
      <c r="I50" s="18" t="s">
        <v>75</v>
      </c>
      <c r="J50" s="18" t="s">
        <v>55</v>
      </c>
      <c r="K50" s="14">
        <v>120</v>
      </c>
      <c r="L50" s="14">
        <v>4</v>
      </c>
      <c r="M50" s="13">
        <v>39</v>
      </c>
      <c r="N50" s="20" t="s">
        <v>72</v>
      </c>
      <c r="O50" s="33" t="str">
        <f>VLOOKUP(N50,Reference!A:B,2,)</f>
        <v>Hou, X.-D.; Feng, G.-J.; Ye, M.; Huang, C.-M.; Zhang, Y. Significantly enhanced enzymatic hydrolysis of rice straw via a high-performance two-stage deep eutectic solvents synergistic pretreatment. Bioresource Technology 2017, 238, 139-146. DOI: https://doi.org/10.1016/j.biortech.2017.04.027.</v>
      </c>
    </row>
    <row r="51" spans="1:15">
      <c r="A51" s="9">
        <v>50</v>
      </c>
      <c r="B51" s="10" t="s">
        <v>53</v>
      </c>
      <c r="C51" s="13">
        <v>35.1</v>
      </c>
      <c r="D51" s="13">
        <v>20.6</v>
      </c>
      <c r="E51" s="13">
        <v>22.59</v>
      </c>
      <c r="F51" s="14">
        <v>0.4</v>
      </c>
      <c r="G51" s="14" t="s">
        <v>2</v>
      </c>
      <c r="H51" s="14" t="s">
        <v>7</v>
      </c>
      <c r="I51" s="18" t="s">
        <v>59</v>
      </c>
      <c r="J51" s="18" t="s">
        <v>55</v>
      </c>
      <c r="K51" s="14">
        <v>120</v>
      </c>
      <c r="L51" s="14">
        <v>4</v>
      </c>
      <c r="M51" s="13">
        <v>50.83</v>
      </c>
      <c r="N51" s="20" t="s">
        <v>72</v>
      </c>
      <c r="O51" s="33" t="str">
        <f>VLOOKUP(N51,Reference!A:B,2,)</f>
        <v>Hou, X.-D.; Feng, G.-J.; Ye, M.; Huang, C.-M.; Zhang, Y. Significantly enhanced enzymatic hydrolysis of rice straw via a high-performance two-stage deep eutectic solvents synergistic pretreatment. Bioresource Technology 2017, 238, 139-146. DOI: https://doi.org/10.1016/j.biortech.2017.04.027.</v>
      </c>
    </row>
    <row r="52" spans="1:15">
      <c r="A52" s="9">
        <v>51</v>
      </c>
      <c r="B52" s="10" t="s">
        <v>53</v>
      </c>
      <c r="C52" s="13">
        <v>35.5</v>
      </c>
      <c r="D52" s="13">
        <v>20.6</v>
      </c>
      <c r="E52" s="13">
        <v>21.53</v>
      </c>
      <c r="F52" s="14">
        <v>0.4</v>
      </c>
      <c r="G52" s="14" t="s">
        <v>2</v>
      </c>
      <c r="H52" s="14" t="s">
        <v>12</v>
      </c>
      <c r="I52" s="18" t="s">
        <v>65</v>
      </c>
      <c r="J52" s="18" t="s">
        <v>55</v>
      </c>
      <c r="K52" s="14">
        <v>120</v>
      </c>
      <c r="L52" s="14">
        <v>6</v>
      </c>
      <c r="M52" s="13">
        <v>26.16</v>
      </c>
      <c r="N52" s="20" t="s">
        <v>74</v>
      </c>
      <c r="O52" s="33" t="str">
        <f>VLOOKUP(N52,Reference!A:B,2,)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3" spans="1:15">
      <c r="A53" s="9">
        <v>52</v>
      </c>
      <c r="B53" s="10" t="s">
        <v>53</v>
      </c>
      <c r="C53" s="13">
        <v>35.5</v>
      </c>
      <c r="D53" s="13">
        <v>20.6</v>
      </c>
      <c r="E53" s="13">
        <v>21.53</v>
      </c>
      <c r="F53" s="14">
        <v>0.4</v>
      </c>
      <c r="G53" s="14" t="s">
        <v>2</v>
      </c>
      <c r="H53" s="14" t="s">
        <v>8</v>
      </c>
      <c r="I53" s="18" t="s">
        <v>65</v>
      </c>
      <c r="J53" s="18" t="s">
        <v>55</v>
      </c>
      <c r="K53" s="14">
        <v>120</v>
      </c>
      <c r="L53" s="14">
        <v>6</v>
      </c>
      <c r="M53" s="13">
        <v>24.12</v>
      </c>
      <c r="N53" s="20" t="s">
        <v>74</v>
      </c>
      <c r="O53" s="33" t="str">
        <f>VLOOKUP(N53,Reference!A:B,2,)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4" spans="1:15">
      <c r="A54" s="9">
        <v>53</v>
      </c>
      <c r="B54" s="10" t="s">
        <v>53</v>
      </c>
      <c r="C54" s="13">
        <v>35.5</v>
      </c>
      <c r="D54" s="13">
        <v>20.6</v>
      </c>
      <c r="E54" s="13">
        <v>21.53</v>
      </c>
      <c r="F54" s="14">
        <v>0.4</v>
      </c>
      <c r="G54" s="14" t="s">
        <v>2</v>
      </c>
      <c r="H54" s="14" t="s">
        <v>18</v>
      </c>
      <c r="I54" s="18" t="s">
        <v>65</v>
      </c>
      <c r="J54" s="18" t="s">
        <v>55</v>
      </c>
      <c r="K54" s="14">
        <v>120</v>
      </c>
      <c r="L54" s="14">
        <v>6</v>
      </c>
      <c r="M54" s="13">
        <v>20.6</v>
      </c>
      <c r="N54" s="20" t="s">
        <v>74</v>
      </c>
      <c r="O54" s="33" t="str">
        <f>VLOOKUP(N54,Reference!A:B,2,)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5" spans="1:15">
      <c r="A55" s="9">
        <v>54</v>
      </c>
      <c r="B55" s="10" t="s">
        <v>53</v>
      </c>
      <c r="C55" s="13">
        <v>35.5</v>
      </c>
      <c r="D55" s="13">
        <v>20.6</v>
      </c>
      <c r="E55" s="13">
        <v>21.53</v>
      </c>
      <c r="F55" s="14">
        <v>0.4</v>
      </c>
      <c r="G55" s="14" t="s">
        <v>2</v>
      </c>
      <c r="H55" s="14" t="s">
        <v>19</v>
      </c>
      <c r="I55" s="18" t="s">
        <v>65</v>
      </c>
      <c r="J55" s="18" t="s">
        <v>55</v>
      </c>
      <c r="K55" s="14">
        <v>120</v>
      </c>
      <c r="L55" s="14">
        <v>6</v>
      </c>
      <c r="M55" s="13">
        <v>45.83</v>
      </c>
      <c r="N55" s="20" t="s">
        <v>74</v>
      </c>
      <c r="O55" s="33" t="str">
        <f>VLOOKUP(N55,Reference!A:B,2,)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6" spans="1:15">
      <c r="A56" s="9">
        <v>55</v>
      </c>
      <c r="B56" s="10" t="s">
        <v>53</v>
      </c>
      <c r="C56" s="13">
        <v>35.5</v>
      </c>
      <c r="D56" s="13">
        <v>20.6</v>
      </c>
      <c r="E56" s="13">
        <v>21.53</v>
      </c>
      <c r="F56" s="14">
        <v>0.4</v>
      </c>
      <c r="G56" s="14" t="s">
        <v>2</v>
      </c>
      <c r="H56" s="14" t="s">
        <v>7</v>
      </c>
      <c r="I56" s="18" t="s">
        <v>65</v>
      </c>
      <c r="J56" s="18" t="s">
        <v>55</v>
      </c>
      <c r="K56" s="14">
        <v>120</v>
      </c>
      <c r="L56" s="14">
        <v>6</v>
      </c>
      <c r="M56" s="13">
        <v>48.52</v>
      </c>
      <c r="N56" s="20" t="s">
        <v>74</v>
      </c>
      <c r="O56" s="33" t="str">
        <f>VLOOKUP(N56,Reference!A:B,2,)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7" spans="1:15">
      <c r="A57" s="9">
        <v>56</v>
      </c>
      <c r="B57" s="10" t="s">
        <v>53</v>
      </c>
      <c r="C57" s="13">
        <v>35.5</v>
      </c>
      <c r="D57" s="13">
        <v>20.6</v>
      </c>
      <c r="E57" s="13">
        <v>21.53</v>
      </c>
      <c r="F57" s="14">
        <v>0.4</v>
      </c>
      <c r="G57" s="14" t="s">
        <v>2</v>
      </c>
      <c r="H57" s="19" t="s">
        <v>10</v>
      </c>
      <c r="I57" s="18" t="s">
        <v>65</v>
      </c>
      <c r="J57" s="18" t="s">
        <v>55</v>
      </c>
      <c r="K57" s="14">
        <v>120</v>
      </c>
      <c r="L57" s="14">
        <v>6</v>
      </c>
      <c r="M57" s="13">
        <v>36.61</v>
      </c>
      <c r="N57" s="20" t="s">
        <v>74</v>
      </c>
      <c r="O57" s="33" t="str">
        <f>VLOOKUP(N57,Reference!A:B,2,)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8" spans="1:15">
      <c r="A58" s="9">
        <v>57</v>
      </c>
      <c r="B58" s="10" t="s">
        <v>53</v>
      </c>
      <c r="C58" s="13">
        <v>35.5</v>
      </c>
      <c r="D58" s="13">
        <v>20.6</v>
      </c>
      <c r="E58" s="13">
        <v>21.53</v>
      </c>
      <c r="F58" s="14">
        <v>0.4</v>
      </c>
      <c r="G58" s="14" t="s">
        <v>2</v>
      </c>
      <c r="H58" s="14" t="s">
        <v>12</v>
      </c>
      <c r="I58" s="18" t="s">
        <v>65</v>
      </c>
      <c r="J58" s="18" t="s">
        <v>55</v>
      </c>
      <c r="K58" s="14">
        <v>80</v>
      </c>
      <c r="L58" s="14">
        <v>6</v>
      </c>
      <c r="M58" s="13">
        <v>21.89</v>
      </c>
      <c r="N58" s="20" t="s">
        <v>74</v>
      </c>
      <c r="O58" s="33" t="str">
        <f>VLOOKUP(N58,Reference!A:B,2,)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59" spans="1:15">
      <c r="A59" s="9">
        <v>58</v>
      </c>
      <c r="B59" s="10" t="s">
        <v>53</v>
      </c>
      <c r="C59" s="13">
        <v>35.5</v>
      </c>
      <c r="D59" s="13">
        <v>20.6</v>
      </c>
      <c r="E59" s="13">
        <v>21.53</v>
      </c>
      <c r="F59" s="14">
        <v>0.4</v>
      </c>
      <c r="G59" s="14" t="s">
        <v>2</v>
      </c>
      <c r="H59" s="14" t="s">
        <v>12</v>
      </c>
      <c r="I59" s="18" t="s">
        <v>65</v>
      </c>
      <c r="J59" s="18" t="s">
        <v>55</v>
      </c>
      <c r="K59" s="14">
        <v>120</v>
      </c>
      <c r="L59" s="14">
        <v>3</v>
      </c>
      <c r="M59" s="13">
        <v>28.7</v>
      </c>
      <c r="N59" s="20" t="s">
        <v>74</v>
      </c>
      <c r="O59" s="33" t="str">
        <f>VLOOKUP(N59,Reference!A:B,2,)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0" spans="1:15">
      <c r="A60" s="9">
        <v>59</v>
      </c>
      <c r="B60" s="10" t="s">
        <v>53</v>
      </c>
      <c r="C60" s="13">
        <v>35.5</v>
      </c>
      <c r="D60" s="13">
        <v>20.6</v>
      </c>
      <c r="E60" s="13">
        <v>21.53</v>
      </c>
      <c r="F60" s="14">
        <v>0.4</v>
      </c>
      <c r="G60" s="14" t="s">
        <v>2</v>
      </c>
      <c r="H60" s="15" t="s">
        <v>20</v>
      </c>
      <c r="I60" s="18" t="s">
        <v>65</v>
      </c>
      <c r="J60" s="18" t="s">
        <v>55</v>
      </c>
      <c r="K60" s="14">
        <v>80</v>
      </c>
      <c r="L60" s="14">
        <v>6</v>
      </c>
      <c r="M60" s="13">
        <v>26.46</v>
      </c>
      <c r="N60" s="20" t="s">
        <v>74</v>
      </c>
      <c r="O60" s="33" t="str">
        <f>VLOOKUP(N60,Reference!A:B,2,)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1" spans="1:15">
      <c r="A61" s="9">
        <v>60</v>
      </c>
      <c r="B61" s="10" t="s">
        <v>53</v>
      </c>
      <c r="C61" s="13">
        <v>35.5</v>
      </c>
      <c r="D61" s="13">
        <v>20.6</v>
      </c>
      <c r="E61" s="13">
        <v>21.53</v>
      </c>
      <c r="F61" s="14">
        <v>0.4</v>
      </c>
      <c r="G61" s="14" t="s">
        <v>2</v>
      </c>
      <c r="H61" s="15" t="s">
        <v>20</v>
      </c>
      <c r="I61" s="18" t="s">
        <v>65</v>
      </c>
      <c r="J61" s="18" t="s">
        <v>55</v>
      </c>
      <c r="K61" s="14">
        <v>120</v>
      </c>
      <c r="L61" s="14">
        <v>3</v>
      </c>
      <c r="M61" s="13">
        <v>32.880000000000003</v>
      </c>
      <c r="N61" s="20" t="s">
        <v>74</v>
      </c>
      <c r="O61" s="33" t="str">
        <f>VLOOKUP(N61,Reference!A:B,2,)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2" spans="1:15">
      <c r="A62" s="9">
        <v>61</v>
      </c>
      <c r="B62" s="10" t="s">
        <v>53</v>
      </c>
      <c r="C62" s="13">
        <v>35.5</v>
      </c>
      <c r="D62" s="13">
        <v>20.6</v>
      </c>
      <c r="E62" s="13">
        <v>21.53</v>
      </c>
      <c r="F62" s="14">
        <v>0.4</v>
      </c>
      <c r="G62" s="14" t="s">
        <v>2</v>
      </c>
      <c r="H62" s="15" t="s">
        <v>21</v>
      </c>
      <c r="I62" s="18" t="s">
        <v>65</v>
      </c>
      <c r="J62" s="18" t="s">
        <v>55</v>
      </c>
      <c r="K62" s="14">
        <v>80</v>
      </c>
      <c r="L62" s="14">
        <v>6</v>
      </c>
      <c r="M62" s="13">
        <v>29.19</v>
      </c>
      <c r="N62" s="20" t="s">
        <v>74</v>
      </c>
      <c r="O62" s="33" t="str">
        <f>VLOOKUP(N62,Reference!A:B,2,)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3" spans="1:15">
      <c r="A63" s="9">
        <v>62</v>
      </c>
      <c r="B63" s="10" t="s">
        <v>53</v>
      </c>
      <c r="C63" s="13">
        <v>35.5</v>
      </c>
      <c r="D63" s="13">
        <v>20.6</v>
      </c>
      <c r="E63" s="13">
        <v>21.53</v>
      </c>
      <c r="F63" s="14">
        <v>0.4</v>
      </c>
      <c r="G63" s="14" t="s">
        <v>2</v>
      </c>
      <c r="H63" s="15" t="s">
        <v>21</v>
      </c>
      <c r="I63" s="18" t="s">
        <v>65</v>
      </c>
      <c r="J63" s="18" t="s">
        <v>55</v>
      </c>
      <c r="K63" s="14">
        <v>120</v>
      </c>
      <c r="L63" s="14">
        <v>3</v>
      </c>
      <c r="M63" s="13">
        <v>34.15</v>
      </c>
      <c r="N63" s="20" t="s">
        <v>74</v>
      </c>
      <c r="O63" s="33" t="str">
        <f>VLOOKUP(N63,Reference!A:B,2,)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4" spans="1:15">
      <c r="A64" s="9">
        <v>63</v>
      </c>
      <c r="B64" s="10" t="s">
        <v>53</v>
      </c>
      <c r="C64" s="13">
        <v>35.5</v>
      </c>
      <c r="D64" s="13">
        <v>20.6</v>
      </c>
      <c r="E64" s="13">
        <v>21.53</v>
      </c>
      <c r="F64" s="14">
        <v>0.4</v>
      </c>
      <c r="G64" s="14" t="s">
        <v>2</v>
      </c>
      <c r="H64" s="14" t="s">
        <v>22</v>
      </c>
      <c r="I64" s="18" t="s">
        <v>65</v>
      </c>
      <c r="J64" s="18" t="s">
        <v>55</v>
      </c>
      <c r="K64" s="14">
        <v>80</v>
      </c>
      <c r="L64" s="14">
        <v>6</v>
      </c>
      <c r="M64" s="13">
        <v>33.17</v>
      </c>
      <c r="N64" s="20" t="s">
        <v>74</v>
      </c>
      <c r="O64" s="33" t="str">
        <f>VLOOKUP(N64,Reference!A:B,2,)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5" spans="1:15">
      <c r="A65" s="9">
        <v>64</v>
      </c>
      <c r="B65" s="10" t="s">
        <v>53</v>
      </c>
      <c r="C65" s="13">
        <v>35.5</v>
      </c>
      <c r="D65" s="13">
        <v>20.6</v>
      </c>
      <c r="E65" s="13">
        <v>21.53</v>
      </c>
      <c r="F65" s="14">
        <v>0.4</v>
      </c>
      <c r="G65" s="14" t="s">
        <v>2</v>
      </c>
      <c r="H65" s="14" t="s">
        <v>22</v>
      </c>
      <c r="I65" s="18" t="s">
        <v>65</v>
      </c>
      <c r="J65" s="18" t="s">
        <v>55</v>
      </c>
      <c r="K65" s="14">
        <v>120</v>
      </c>
      <c r="L65" s="14">
        <v>3</v>
      </c>
      <c r="M65" s="13">
        <v>36.880000000000003</v>
      </c>
      <c r="N65" s="20" t="s">
        <v>74</v>
      </c>
      <c r="O65" s="33" t="str">
        <f>VLOOKUP(N65,Reference!A:B,2,)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6" spans="1:15">
      <c r="A66" s="9">
        <v>65</v>
      </c>
      <c r="B66" s="10" t="s">
        <v>53</v>
      </c>
      <c r="C66" s="13">
        <v>35.5</v>
      </c>
      <c r="D66" s="13">
        <v>20.6</v>
      </c>
      <c r="E66" s="13">
        <v>21.53</v>
      </c>
      <c r="F66" s="14">
        <v>0.4</v>
      </c>
      <c r="G66" s="14" t="s">
        <v>2</v>
      </c>
      <c r="H66" s="14" t="s">
        <v>9</v>
      </c>
      <c r="I66" s="18" t="s">
        <v>65</v>
      </c>
      <c r="J66" s="18" t="s">
        <v>55</v>
      </c>
      <c r="K66" s="14">
        <v>80</v>
      </c>
      <c r="L66" s="14">
        <v>6</v>
      </c>
      <c r="M66" s="13">
        <v>51.41</v>
      </c>
      <c r="N66" s="20" t="s">
        <v>74</v>
      </c>
      <c r="O66" s="33" t="str">
        <f>VLOOKUP(N66,Reference!A:B,2,)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7" spans="1:15">
      <c r="A67" s="9">
        <v>66</v>
      </c>
      <c r="B67" s="10" t="s">
        <v>53</v>
      </c>
      <c r="C67" s="13">
        <v>35.5</v>
      </c>
      <c r="D67" s="13">
        <v>20.6</v>
      </c>
      <c r="E67" s="13">
        <v>21.53</v>
      </c>
      <c r="F67" s="14">
        <v>0.4</v>
      </c>
      <c r="G67" s="14" t="s">
        <v>2</v>
      </c>
      <c r="H67" s="14" t="s">
        <v>9</v>
      </c>
      <c r="I67" s="18" t="s">
        <v>65</v>
      </c>
      <c r="J67" s="18" t="s">
        <v>55</v>
      </c>
      <c r="K67" s="14">
        <v>120</v>
      </c>
      <c r="L67" s="14">
        <v>3</v>
      </c>
      <c r="M67" s="13">
        <v>25.39</v>
      </c>
      <c r="N67" s="20" t="s">
        <v>74</v>
      </c>
      <c r="O67" s="33" t="str">
        <f>VLOOKUP(N67,Reference!A:B,2,)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8" spans="1:15">
      <c r="A68" s="9">
        <v>67</v>
      </c>
      <c r="B68" s="10" t="s">
        <v>53</v>
      </c>
      <c r="C68" s="13">
        <v>35.5</v>
      </c>
      <c r="D68" s="13">
        <v>20.6</v>
      </c>
      <c r="E68" s="13">
        <v>21.53</v>
      </c>
      <c r="F68" s="14">
        <v>0.4</v>
      </c>
      <c r="G68" s="14" t="s">
        <v>2</v>
      </c>
      <c r="H68" s="14" t="s">
        <v>23</v>
      </c>
      <c r="I68" s="18" t="s">
        <v>65</v>
      </c>
      <c r="J68" s="18" t="s">
        <v>55</v>
      </c>
      <c r="K68" s="14">
        <v>80</v>
      </c>
      <c r="L68" s="14">
        <v>6</v>
      </c>
      <c r="M68" s="13">
        <v>51.98</v>
      </c>
      <c r="N68" s="20" t="s">
        <v>74</v>
      </c>
      <c r="O68" s="33" t="str">
        <f>VLOOKUP(N68,Reference!A:B,2,)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69" spans="1:15">
      <c r="A69" s="9">
        <v>68</v>
      </c>
      <c r="B69" s="10" t="s">
        <v>53</v>
      </c>
      <c r="C69" s="13">
        <v>35.5</v>
      </c>
      <c r="D69" s="13">
        <v>20.6</v>
      </c>
      <c r="E69" s="13">
        <v>21.53</v>
      </c>
      <c r="F69" s="14">
        <v>0.4</v>
      </c>
      <c r="G69" s="14" t="s">
        <v>2</v>
      </c>
      <c r="H69" s="14" t="s">
        <v>17</v>
      </c>
      <c r="I69" s="18" t="s">
        <v>65</v>
      </c>
      <c r="J69" s="18" t="s">
        <v>55</v>
      </c>
      <c r="K69" s="14">
        <v>80</v>
      </c>
      <c r="L69" s="14">
        <v>6</v>
      </c>
      <c r="M69" s="13">
        <v>36.799999999999997</v>
      </c>
      <c r="N69" s="20" t="s">
        <v>74</v>
      </c>
      <c r="O69" s="33" t="str">
        <f>VLOOKUP(N69,Reference!A:B,2,)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70" spans="1:15">
      <c r="A70" s="9">
        <v>69</v>
      </c>
      <c r="B70" s="10" t="s">
        <v>53</v>
      </c>
      <c r="C70" s="13">
        <v>35.5</v>
      </c>
      <c r="D70" s="13">
        <v>20.6</v>
      </c>
      <c r="E70" s="13">
        <v>21.53</v>
      </c>
      <c r="F70" s="14">
        <v>0.4</v>
      </c>
      <c r="G70" s="14" t="s">
        <v>2</v>
      </c>
      <c r="H70" s="14" t="s">
        <v>14</v>
      </c>
      <c r="I70" s="18" t="s">
        <v>65</v>
      </c>
      <c r="J70" s="18" t="s">
        <v>55</v>
      </c>
      <c r="K70" s="14">
        <v>80</v>
      </c>
      <c r="L70" s="14">
        <v>6</v>
      </c>
      <c r="M70" s="13">
        <v>51.29</v>
      </c>
      <c r="N70" s="20" t="s">
        <v>74</v>
      </c>
      <c r="O70" s="33" t="str">
        <f>VLOOKUP(N70,Reference!A:B,2,)</f>
        <v>Hou, X.-D.; Li, A.-L.; Lin, K.-P.; Wang, Y.-Y.; Kuang, Z.-Y.; Cao, S.-L. Insight into the structure-function relationships of deep eutectic solvents during rice straw pretreatment. Bioresource Technology 2018, 249, 261-267. DOI: https://doi.org/10.1016/j.biortech.2017.10.019.</v>
      </c>
    </row>
    <row r="71" spans="1:15">
      <c r="A71" s="9">
        <v>70</v>
      </c>
      <c r="B71" s="10" t="s">
        <v>53</v>
      </c>
      <c r="C71" s="13">
        <v>43.5</v>
      </c>
      <c r="D71" s="13">
        <v>30.3</v>
      </c>
      <c r="E71" s="13">
        <v>18.5</v>
      </c>
      <c r="F71" s="14">
        <v>1</v>
      </c>
      <c r="G71" s="14" t="s">
        <v>2</v>
      </c>
      <c r="H71" s="14" t="s">
        <v>24</v>
      </c>
      <c r="I71" s="18" t="s">
        <v>77</v>
      </c>
      <c r="J71" s="21" t="s">
        <v>78</v>
      </c>
      <c r="K71" s="14">
        <v>126</v>
      </c>
      <c r="L71" s="14">
        <v>2.5</v>
      </c>
      <c r="M71" s="13">
        <v>84</v>
      </c>
      <c r="N71" s="20" t="s">
        <v>76</v>
      </c>
      <c r="O71" s="33" t="str">
        <f>VLOOKUP(N71,Reference!A:B,2,)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2" spans="1:15">
      <c r="A72" s="9">
        <v>71</v>
      </c>
      <c r="B72" s="10" t="s">
        <v>53</v>
      </c>
      <c r="C72" s="13">
        <v>43.5</v>
      </c>
      <c r="D72" s="13">
        <v>30.3</v>
      </c>
      <c r="E72" s="13">
        <v>18.5</v>
      </c>
      <c r="F72" s="14">
        <v>1</v>
      </c>
      <c r="G72" s="14" t="s">
        <v>2</v>
      </c>
      <c r="H72" s="14" t="s">
        <v>24</v>
      </c>
      <c r="I72" s="18" t="s">
        <v>65</v>
      </c>
      <c r="J72" s="21" t="s">
        <v>78</v>
      </c>
      <c r="K72" s="14">
        <v>90</v>
      </c>
      <c r="L72" s="14">
        <v>1</v>
      </c>
      <c r="M72" s="13">
        <v>53.7</v>
      </c>
      <c r="N72" s="20" t="s">
        <v>76</v>
      </c>
      <c r="O72" s="33" t="str">
        <f>VLOOKUP(N72,Reference!A:B,2,)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3" spans="1:15">
      <c r="A73" s="9">
        <v>72</v>
      </c>
      <c r="B73" s="10" t="s">
        <v>53</v>
      </c>
      <c r="C73" s="13">
        <v>43.5</v>
      </c>
      <c r="D73" s="13">
        <v>30.3</v>
      </c>
      <c r="E73" s="13">
        <v>18.5</v>
      </c>
      <c r="F73" s="14">
        <v>1</v>
      </c>
      <c r="G73" s="14" t="s">
        <v>2</v>
      </c>
      <c r="H73" s="14" t="s">
        <v>24</v>
      </c>
      <c r="I73" s="18" t="s">
        <v>59</v>
      </c>
      <c r="J73" s="21" t="s">
        <v>78</v>
      </c>
      <c r="K73" s="14">
        <v>90</v>
      </c>
      <c r="L73" s="14">
        <v>1</v>
      </c>
      <c r="M73" s="13">
        <v>69.3</v>
      </c>
      <c r="N73" s="20" t="s">
        <v>76</v>
      </c>
      <c r="O73" s="33" t="str">
        <f>VLOOKUP(N73,Reference!A:B,2,)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4" spans="1:15">
      <c r="A74" s="9">
        <v>73</v>
      </c>
      <c r="B74" s="10" t="s">
        <v>53</v>
      </c>
      <c r="C74" s="13">
        <v>43.5</v>
      </c>
      <c r="D74" s="13">
        <v>30.3</v>
      </c>
      <c r="E74" s="13">
        <v>18.5</v>
      </c>
      <c r="F74" s="14">
        <v>1</v>
      </c>
      <c r="G74" s="14" t="s">
        <v>2</v>
      </c>
      <c r="H74" s="14" t="s">
        <v>24</v>
      </c>
      <c r="I74" s="18" t="s">
        <v>80</v>
      </c>
      <c r="J74" s="21" t="s">
        <v>78</v>
      </c>
      <c r="K74" s="14">
        <v>90</v>
      </c>
      <c r="L74" s="14">
        <v>1</v>
      </c>
      <c r="M74" s="13">
        <v>57.1</v>
      </c>
      <c r="N74" s="20" t="s">
        <v>76</v>
      </c>
      <c r="O74" s="33" t="str">
        <f>VLOOKUP(N74,Reference!A:B,2,)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5" spans="1:15">
      <c r="A75" s="9">
        <v>74</v>
      </c>
      <c r="B75" s="10" t="s">
        <v>53</v>
      </c>
      <c r="C75" s="13">
        <v>43.5</v>
      </c>
      <c r="D75" s="13">
        <v>30.3</v>
      </c>
      <c r="E75" s="13">
        <v>18.5</v>
      </c>
      <c r="F75" s="14">
        <v>1</v>
      </c>
      <c r="G75" s="14" t="s">
        <v>2</v>
      </c>
      <c r="H75" s="14" t="s">
        <v>24</v>
      </c>
      <c r="I75" s="18" t="s">
        <v>64</v>
      </c>
      <c r="J75" s="21" t="s">
        <v>78</v>
      </c>
      <c r="K75" s="14">
        <v>90</v>
      </c>
      <c r="L75" s="14">
        <v>1</v>
      </c>
      <c r="M75" s="13">
        <v>58.5</v>
      </c>
      <c r="N75" s="20" t="s">
        <v>76</v>
      </c>
      <c r="O75" s="33" t="str">
        <f>VLOOKUP(N75,Reference!A:B,2,)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6" spans="1:15">
      <c r="A76" s="9">
        <v>75</v>
      </c>
      <c r="B76" s="10" t="s">
        <v>53</v>
      </c>
      <c r="C76" s="13">
        <v>43.5</v>
      </c>
      <c r="D76" s="13">
        <v>30.3</v>
      </c>
      <c r="E76" s="13">
        <v>18.5</v>
      </c>
      <c r="F76" s="14">
        <v>1</v>
      </c>
      <c r="G76" s="14" t="s">
        <v>2</v>
      </c>
      <c r="H76" s="14" t="s">
        <v>24</v>
      </c>
      <c r="I76" s="18" t="s">
        <v>59</v>
      </c>
      <c r="J76" s="21" t="s">
        <v>78</v>
      </c>
      <c r="K76" s="14">
        <v>60</v>
      </c>
      <c r="L76" s="14">
        <v>1</v>
      </c>
      <c r="M76" s="13">
        <v>61.7</v>
      </c>
      <c r="N76" s="20" t="s">
        <v>76</v>
      </c>
      <c r="O76" s="33" t="str">
        <f>VLOOKUP(N76,Reference!A:B,2,)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7" spans="1:15">
      <c r="A77" s="9">
        <v>76</v>
      </c>
      <c r="B77" s="10" t="s">
        <v>53</v>
      </c>
      <c r="C77" s="13">
        <v>43.5</v>
      </c>
      <c r="D77" s="13">
        <v>30.3</v>
      </c>
      <c r="E77" s="13">
        <v>18.5</v>
      </c>
      <c r="F77" s="14">
        <v>1</v>
      </c>
      <c r="G77" s="14" t="s">
        <v>2</v>
      </c>
      <c r="H77" s="14" t="s">
        <v>24</v>
      </c>
      <c r="I77" s="18" t="s">
        <v>59</v>
      </c>
      <c r="J77" s="21" t="s">
        <v>78</v>
      </c>
      <c r="K77" s="14">
        <v>90</v>
      </c>
      <c r="L77" s="14">
        <v>1</v>
      </c>
      <c r="M77" s="13">
        <v>68.900000000000006</v>
      </c>
      <c r="N77" s="20" t="s">
        <v>76</v>
      </c>
      <c r="O77" s="33" t="str">
        <f>VLOOKUP(N77,Reference!A:B,2,)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8" spans="1:15">
      <c r="A78" s="9">
        <v>77</v>
      </c>
      <c r="B78" s="10" t="s">
        <v>53</v>
      </c>
      <c r="C78" s="13">
        <v>43.5</v>
      </c>
      <c r="D78" s="13">
        <v>30.3</v>
      </c>
      <c r="E78" s="13">
        <v>18.5</v>
      </c>
      <c r="F78" s="14">
        <v>1</v>
      </c>
      <c r="G78" s="14" t="s">
        <v>2</v>
      </c>
      <c r="H78" s="14" t="s">
        <v>24</v>
      </c>
      <c r="I78" s="18" t="s">
        <v>59</v>
      </c>
      <c r="J78" s="21" t="s">
        <v>78</v>
      </c>
      <c r="K78" s="14">
        <v>120</v>
      </c>
      <c r="L78" s="14">
        <v>1</v>
      </c>
      <c r="M78" s="13">
        <v>56.6</v>
      </c>
      <c r="N78" s="20" t="s">
        <v>76</v>
      </c>
      <c r="O78" s="33" t="str">
        <f>VLOOKUP(N78,Reference!A:B,2,)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79" spans="1:15">
      <c r="A79" s="9">
        <v>78</v>
      </c>
      <c r="B79" s="10" t="s">
        <v>53</v>
      </c>
      <c r="C79" s="13">
        <v>43.5</v>
      </c>
      <c r="D79" s="13">
        <v>30.3</v>
      </c>
      <c r="E79" s="13">
        <v>18.5</v>
      </c>
      <c r="F79" s="14">
        <v>1</v>
      </c>
      <c r="G79" s="14" t="s">
        <v>2</v>
      </c>
      <c r="H79" s="14" t="s">
        <v>24</v>
      </c>
      <c r="I79" s="18" t="s">
        <v>59</v>
      </c>
      <c r="J79" s="21" t="s">
        <v>78</v>
      </c>
      <c r="K79" s="14">
        <v>140</v>
      </c>
      <c r="L79" s="14">
        <v>1</v>
      </c>
      <c r="M79" s="13">
        <v>77.7</v>
      </c>
      <c r="N79" s="20" t="s">
        <v>76</v>
      </c>
      <c r="O79" s="33" t="str">
        <f>VLOOKUP(N79,Reference!A:B,2,)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80" spans="1:15">
      <c r="A80" s="9">
        <v>79</v>
      </c>
      <c r="B80" s="10" t="s">
        <v>53</v>
      </c>
      <c r="C80" s="13">
        <v>43.5</v>
      </c>
      <c r="D80" s="13">
        <v>30.3</v>
      </c>
      <c r="E80" s="13">
        <v>18.5</v>
      </c>
      <c r="F80" s="14">
        <v>1</v>
      </c>
      <c r="G80" s="14" t="s">
        <v>2</v>
      </c>
      <c r="H80" s="14" t="s">
        <v>24</v>
      </c>
      <c r="I80" s="18" t="s">
        <v>59</v>
      </c>
      <c r="J80" s="21" t="s">
        <v>78</v>
      </c>
      <c r="K80" s="14">
        <v>160</v>
      </c>
      <c r="L80" s="14">
        <v>1</v>
      </c>
      <c r="M80" s="13">
        <v>78.3</v>
      </c>
      <c r="N80" s="20" t="s">
        <v>76</v>
      </c>
      <c r="O80" s="33" t="str">
        <f>VLOOKUP(N80,Reference!A:B,2,)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81" spans="1:15">
      <c r="A81" s="9">
        <v>80</v>
      </c>
      <c r="B81" s="10" t="s">
        <v>53</v>
      </c>
      <c r="C81" s="13">
        <v>43.5</v>
      </c>
      <c r="D81" s="13">
        <v>30.3</v>
      </c>
      <c r="E81" s="13">
        <v>18.5</v>
      </c>
      <c r="F81" s="14">
        <v>1</v>
      </c>
      <c r="G81" s="14" t="s">
        <v>2</v>
      </c>
      <c r="H81" s="14" t="s">
        <v>24</v>
      </c>
      <c r="I81" s="18" t="s">
        <v>59</v>
      </c>
      <c r="J81" s="21" t="s">
        <v>78</v>
      </c>
      <c r="K81" s="14">
        <v>140</v>
      </c>
      <c r="L81" s="14">
        <v>0.5</v>
      </c>
      <c r="M81" s="13">
        <v>74.2</v>
      </c>
      <c r="N81" s="20" t="s">
        <v>76</v>
      </c>
      <c r="O81" s="33" t="str">
        <f>VLOOKUP(N81,Reference!A:B,2,)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82" spans="1:15">
      <c r="A82" s="9">
        <v>81</v>
      </c>
      <c r="B82" s="10" t="s">
        <v>53</v>
      </c>
      <c r="C82" s="13">
        <v>43.5</v>
      </c>
      <c r="D82" s="13">
        <v>30.3</v>
      </c>
      <c r="E82" s="13">
        <v>18.5</v>
      </c>
      <c r="F82" s="14">
        <v>1</v>
      </c>
      <c r="G82" s="14" t="s">
        <v>2</v>
      </c>
      <c r="H82" s="14" t="s">
        <v>24</v>
      </c>
      <c r="I82" s="18" t="s">
        <v>59</v>
      </c>
      <c r="J82" s="18" t="s">
        <v>78</v>
      </c>
      <c r="K82" s="14">
        <v>140</v>
      </c>
      <c r="L82" s="14">
        <v>1</v>
      </c>
      <c r="M82" s="13">
        <v>78.400000000000006</v>
      </c>
      <c r="N82" s="20" t="s">
        <v>76</v>
      </c>
      <c r="O82" s="33" t="str">
        <f>VLOOKUP(N82,Reference!A:B,2,)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83" spans="1:15">
      <c r="A83" s="9">
        <v>82</v>
      </c>
      <c r="B83" s="10" t="s">
        <v>53</v>
      </c>
      <c r="C83" s="13">
        <v>43.5</v>
      </c>
      <c r="D83" s="13">
        <v>30.3</v>
      </c>
      <c r="E83" s="13">
        <v>18.5</v>
      </c>
      <c r="F83" s="14">
        <v>1</v>
      </c>
      <c r="G83" s="14" t="s">
        <v>2</v>
      </c>
      <c r="H83" s="14" t="s">
        <v>24</v>
      </c>
      <c r="I83" s="18" t="s">
        <v>59</v>
      </c>
      <c r="J83" s="18" t="s">
        <v>78</v>
      </c>
      <c r="K83" s="14">
        <v>140</v>
      </c>
      <c r="L83" s="14">
        <v>3</v>
      </c>
      <c r="M83" s="13">
        <v>78.599999999999994</v>
      </c>
      <c r="N83" s="20" t="s">
        <v>76</v>
      </c>
      <c r="O83" s="33" t="str">
        <f>VLOOKUP(N83,Reference!A:B,2,)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84" spans="1:15">
      <c r="A84" s="9">
        <v>83</v>
      </c>
      <c r="B84" s="10" t="s">
        <v>53</v>
      </c>
      <c r="C84" s="13">
        <v>43.5</v>
      </c>
      <c r="D84" s="13">
        <v>30.3</v>
      </c>
      <c r="E84" s="13">
        <v>18.5</v>
      </c>
      <c r="F84" s="14">
        <v>1</v>
      </c>
      <c r="G84" s="14" t="s">
        <v>2</v>
      </c>
      <c r="H84" s="14" t="s">
        <v>24</v>
      </c>
      <c r="I84" s="18" t="s">
        <v>59</v>
      </c>
      <c r="J84" s="18" t="s">
        <v>78</v>
      </c>
      <c r="K84" s="14">
        <v>140</v>
      </c>
      <c r="L84" s="14">
        <v>4</v>
      </c>
      <c r="M84" s="13">
        <v>79.7</v>
      </c>
      <c r="N84" s="20" t="s">
        <v>76</v>
      </c>
      <c r="O84" s="33" t="str">
        <f>VLOOKUP(N84,Reference!A:B,2,)</f>
        <v>Maibam, P. D.; Goyal, A. Approach to an efficient pretreatment method for rice straw by deep eutectic solvent for high saccharification efficiency. Bioresource Technology 2022, 351, 127057. DOI: https://doi.org/10.1016/j.biortech.2022.127057.</v>
      </c>
    </row>
    <row r="85" spans="1:15">
      <c r="A85" s="9">
        <v>84</v>
      </c>
      <c r="B85" s="10" t="s">
        <v>53</v>
      </c>
      <c r="C85" s="13">
        <v>34.200000000000003</v>
      </c>
      <c r="D85" s="13">
        <v>19.600000000000001</v>
      </c>
      <c r="E85" s="13">
        <v>21.91</v>
      </c>
      <c r="F85" s="14">
        <v>0.6</v>
      </c>
      <c r="G85" s="14" t="s">
        <v>2</v>
      </c>
      <c r="H85" s="14" t="s">
        <v>16</v>
      </c>
      <c r="I85" s="18" t="s">
        <v>75</v>
      </c>
      <c r="J85" s="18" t="s">
        <v>55</v>
      </c>
      <c r="K85" s="14">
        <v>90</v>
      </c>
      <c r="L85" s="14">
        <v>3</v>
      </c>
      <c r="M85" s="13">
        <v>54.91</v>
      </c>
      <c r="N85" s="20" t="s">
        <v>79</v>
      </c>
      <c r="O85" s="33" t="str">
        <f>VLOOKUP(N85,Reference!A:B,2,)</f>
        <v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v>
      </c>
    </row>
    <row r="86" spans="1:15">
      <c r="A86" s="9">
        <v>85</v>
      </c>
      <c r="B86" s="10" t="s">
        <v>53</v>
      </c>
      <c r="C86" s="13">
        <v>34.200000000000003</v>
      </c>
      <c r="D86" s="13">
        <v>19.600000000000001</v>
      </c>
      <c r="E86" s="13">
        <v>21.91</v>
      </c>
      <c r="F86" s="14">
        <v>0.6</v>
      </c>
      <c r="G86" s="14" t="s">
        <v>2</v>
      </c>
      <c r="H86" s="14" t="s">
        <v>16</v>
      </c>
      <c r="I86" s="18" t="s">
        <v>65</v>
      </c>
      <c r="J86" s="18" t="s">
        <v>55</v>
      </c>
      <c r="K86" s="14">
        <v>90</v>
      </c>
      <c r="L86" s="14">
        <v>3</v>
      </c>
      <c r="M86" s="13">
        <v>63.86</v>
      </c>
      <c r="N86" s="20" t="s">
        <v>79</v>
      </c>
      <c r="O86" s="33" t="str">
        <f>VLOOKUP(N86,Reference!A:B,2,)</f>
        <v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v>
      </c>
    </row>
    <row r="87" spans="1:15">
      <c r="A87" s="9">
        <v>86</v>
      </c>
      <c r="B87" s="10" t="s">
        <v>53</v>
      </c>
      <c r="C87" s="13">
        <v>34.200000000000003</v>
      </c>
      <c r="D87" s="13">
        <v>19.600000000000001</v>
      </c>
      <c r="E87" s="13">
        <v>21.91</v>
      </c>
      <c r="F87" s="14">
        <v>0.6</v>
      </c>
      <c r="G87" s="14" t="s">
        <v>2</v>
      </c>
      <c r="H87" s="14" t="s">
        <v>16</v>
      </c>
      <c r="I87" s="18" t="s">
        <v>59</v>
      </c>
      <c r="J87" s="18" t="s">
        <v>55</v>
      </c>
      <c r="K87" s="14">
        <v>90</v>
      </c>
      <c r="L87" s="14">
        <v>3</v>
      </c>
      <c r="M87" s="13">
        <v>67.44</v>
      </c>
      <c r="N87" s="20" t="s">
        <v>79</v>
      </c>
      <c r="O87" s="33" t="str">
        <f>VLOOKUP(N87,Reference!A:B,2,)</f>
        <v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v>
      </c>
    </row>
    <row r="88" spans="1:15">
      <c r="A88" s="9">
        <v>87</v>
      </c>
      <c r="B88" s="10" t="s">
        <v>53</v>
      </c>
      <c r="C88" s="13">
        <v>34.200000000000003</v>
      </c>
      <c r="D88" s="13">
        <v>19.600000000000001</v>
      </c>
      <c r="E88" s="13">
        <v>21.91</v>
      </c>
      <c r="F88" s="14">
        <v>0.6</v>
      </c>
      <c r="G88" s="14" t="s">
        <v>2</v>
      </c>
      <c r="H88" s="14" t="s">
        <v>16</v>
      </c>
      <c r="I88" s="18" t="s">
        <v>75</v>
      </c>
      <c r="J88" s="18" t="s">
        <v>55</v>
      </c>
      <c r="K88" s="14">
        <v>120</v>
      </c>
      <c r="L88" s="14">
        <v>1</v>
      </c>
      <c r="M88" s="13">
        <v>73.540000000000006</v>
      </c>
      <c r="N88" s="20" t="s">
        <v>79</v>
      </c>
      <c r="O88" s="33" t="str">
        <f>VLOOKUP(N88,Reference!A:B,2,)</f>
        <v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v>
      </c>
    </row>
    <row r="89" spans="1:15">
      <c r="A89" s="9">
        <v>88</v>
      </c>
      <c r="B89" s="10" t="s">
        <v>53</v>
      </c>
      <c r="C89" s="13">
        <v>34.200000000000003</v>
      </c>
      <c r="D89" s="13">
        <v>19.600000000000001</v>
      </c>
      <c r="E89" s="13">
        <v>21.91</v>
      </c>
      <c r="F89" s="14">
        <v>0.6</v>
      </c>
      <c r="G89" s="14" t="s">
        <v>2</v>
      </c>
      <c r="H89" s="14" t="s">
        <v>16</v>
      </c>
      <c r="I89" s="18" t="s">
        <v>65</v>
      </c>
      <c r="J89" s="18" t="s">
        <v>55</v>
      </c>
      <c r="K89" s="14">
        <v>120</v>
      </c>
      <c r="L89" s="14">
        <v>1</v>
      </c>
      <c r="M89" s="13">
        <v>74.459999999999994</v>
      </c>
      <c r="N89" s="20" t="s">
        <v>79</v>
      </c>
      <c r="O89" s="33" t="str">
        <f>VLOOKUP(N89,Reference!A:B,2,)</f>
        <v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v>
      </c>
    </row>
    <row r="90" spans="1:15">
      <c r="A90" s="9">
        <v>89</v>
      </c>
      <c r="B90" s="10" t="s">
        <v>53</v>
      </c>
      <c r="C90" s="13">
        <v>34.200000000000003</v>
      </c>
      <c r="D90" s="13">
        <v>19.600000000000001</v>
      </c>
      <c r="E90" s="13">
        <v>21.91</v>
      </c>
      <c r="F90" s="14">
        <v>0.6</v>
      </c>
      <c r="G90" s="14" t="s">
        <v>2</v>
      </c>
      <c r="H90" s="14" t="s">
        <v>16</v>
      </c>
      <c r="I90" s="18" t="s">
        <v>59</v>
      </c>
      <c r="J90" s="18" t="s">
        <v>55</v>
      </c>
      <c r="K90" s="14">
        <v>120</v>
      </c>
      <c r="L90" s="14">
        <v>1</v>
      </c>
      <c r="M90" s="13">
        <v>75.069999999999993</v>
      </c>
      <c r="N90" s="20" t="s">
        <v>79</v>
      </c>
      <c r="O90" s="33" t="str">
        <f>VLOOKUP(N90,Reference!A:B,2,)</f>
        <v>Hou, X.-D.; Lin, K.-P.; Li, A.-L.; Yang, L.-M.; Fu, M.-H. Effect of constituents molar ratios of deep eutectic solvents on rice straw fractionation efficiency and the micro-mechanism investigation. Industrial Crops and Products 2018, 120, 322-329. DOI: https://doi.org/10.1016/j.indcrop.2018.04.076.</v>
      </c>
    </row>
    <row r="91" spans="1:15">
      <c r="A91" s="9">
        <v>90</v>
      </c>
      <c r="B91" s="10" t="s">
        <v>53</v>
      </c>
      <c r="C91" s="14">
        <v>33.6</v>
      </c>
      <c r="D91" s="14">
        <v>18.600000000000001</v>
      </c>
      <c r="E91" s="14">
        <v>15.3</v>
      </c>
      <c r="F91" s="14">
        <v>0.4</v>
      </c>
      <c r="G91" s="14" t="s">
        <v>2</v>
      </c>
      <c r="H91" s="14" t="s">
        <v>9</v>
      </c>
      <c r="I91" s="18" t="s">
        <v>61</v>
      </c>
      <c r="J91" s="14" t="s">
        <v>58</v>
      </c>
      <c r="K91" s="14">
        <v>120</v>
      </c>
      <c r="L91" s="14">
        <v>6</v>
      </c>
      <c r="M91" s="13">
        <v>75</v>
      </c>
      <c r="N91" s="20" t="s">
        <v>81</v>
      </c>
      <c r="O91" s="33" t="str">
        <f>VLOOKUP(N91,Reference!A:B,2,)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2" spans="1:15">
      <c r="A92" s="9">
        <v>91</v>
      </c>
      <c r="B92" s="10" t="s">
        <v>53</v>
      </c>
      <c r="C92" s="14">
        <v>33.6</v>
      </c>
      <c r="D92" s="14">
        <v>18.600000000000001</v>
      </c>
      <c r="E92" s="14">
        <v>15.3</v>
      </c>
      <c r="F92" s="14">
        <v>0.4</v>
      </c>
      <c r="G92" s="14" t="s">
        <v>2</v>
      </c>
      <c r="H92" s="14" t="s">
        <v>9</v>
      </c>
      <c r="I92" s="18" t="s">
        <v>59</v>
      </c>
      <c r="J92" s="14" t="s">
        <v>58</v>
      </c>
      <c r="K92" s="14">
        <v>120</v>
      </c>
      <c r="L92" s="14">
        <v>6</v>
      </c>
      <c r="M92" s="13">
        <v>60.35</v>
      </c>
      <c r="N92" s="20" t="s">
        <v>81</v>
      </c>
      <c r="O92" s="33" t="str">
        <f>VLOOKUP(N92,Reference!A:B,2,)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3" spans="1:15">
      <c r="A93" s="9">
        <v>92</v>
      </c>
      <c r="B93" s="10" t="s">
        <v>53</v>
      </c>
      <c r="C93" s="14">
        <v>33.6</v>
      </c>
      <c r="D93" s="14">
        <v>18.600000000000001</v>
      </c>
      <c r="E93" s="14">
        <v>15.3</v>
      </c>
      <c r="F93" s="14">
        <v>0.4</v>
      </c>
      <c r="G93" s="14" t="s">
        <v>2</v>
      </c>
      <c r="H93" s="14" t="s">
        <v>23</v>
      </c>
      <c r="I93" s="18" t="s">
        <v>59</v>
      </c>
      <c r="J93" s="14" t="s">
        <v>58</v>
      </c>
      <c r="K93" s="14">
        <v>120</v>
      </c>
      <c r="L93" s="14">
        <v>6</v>
      </c>
      <c r="M93" s="13">
        <v>73.83</v>
      </c>
      <c r="N93" s="20" t="s">
        <v>81</v>
      </c>
      <c r="O93" s="33" t="str">
        <f>VLOOKUP(N93,Reference!A:B,2,)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4" spans="1:15">
      <c r="A94" s="9">
        <v>93</v>
      </c>
      <c r="B94" s="10" t="s">
        <v>53</v>
      </c>
      <c r="C94" s="14">
        <v>33.6</v>
      </c>
      <c r="D94" s="14">
        <v>18.600000000000001</v>
      </c>
      <c r="E94" s="14">
        <v>15.3</v>
      </c>
      <c r="F94" s="14">
        <v>0.4</v>
      </c>
      <c r="G94" s="14" t="s">
        <v>2</v>
      </c>
      <c r="H94" s="14" t="s">
        <v>22</v>
      </c>
      <c r="I94" s="18" t="s">
        <v>59</v>
      </c>
      <c r="J94" s="14" t="s">
        <v>58</v>
      </c>
      <c r="K94" s="14">
        <v>120</v>
      </c>
      <c r="L94" s="14">
        <v>6</v>
      </c>
      <c r="M94" s="13">
        <v>60.87</v>
      </c>
      <c r="N94" s="20" t="s">
        <v>81</v>
      </c>
      <c r="O94" s="33" t="str">
        <f>VLOOKUP(N94,Reference!A:B,2,)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5" spans="1:15">
      <c r="A95" s="9">
        <v>94</v>
      </c>
      <c r="B95" s="10" t="s">
        <v>53</v>
      </c>
      <c r="C95" s="14">
        <v>33.6</v>
      </c>
      <c r="D95" s="14">
        <v>18.600000000000001</v>
      </c>
      <c r="E95" s="14">
        <v>15.3</v>
      </c>
      <c r="F95" s="14">
        <v>0.4</v>
      </c>
      <c r="G95" s="14" t="s">
        <v>2</v>
      </c>
      <c r="H95" s="15" t="s">
        <v>25</v>
      </c>
      <c r="I95" s="18" t="s">
        <v>59</v>
      </c>
      <c r="J95" s="14" t="s">
        <v>58</v>
      </c>
      <c r="K95" s="14">
        <v>120</v>
      </c>
      <c r="L95" s="14">
        <v>6</v>
      </c>
      <c r="M95" s="13">
        <v>56.41</v>
      </c>
      <c r="N95" s="20" t="s">
        <v>81</v>
      </c>
      <c r="O95" s="33" t="str">
        <f>VLOOKUP(N95,Reference!A:B,2,)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6" spans="1:15">
      <c r="A96" s="9">
        <v>95</v>
      </c>
      <c r="B96" s="10" t="s">
        <v>53</v>
      </c>
      <c r="C96" s="14">
        <v>33.6</v>
      </c>
      <c r="D96" s="14">
        <v>18.600000000000001</v>
      </c>
      <c r="E96" s="14">
        <v>15.3</v>
      </c>
      <c r="F96" s="14">
        <v>0.4</v>
      </c>
      <c r="G96" s="14" t="s">
        <v>2</v>
      </c>
      <c r="H96" s="15" t="s">
        <v>26</v>
      </c>
      <c r="I96" s="18" t="s">
        <v>59</v>
      </c>
      <c r="J96" s="14" t="s">
        <v>58</v>
      </c>
      <c r="K96" s="14">
        <v>120</v>
      </c>
      <c r="L96" s="14">
        <v>6</v>
      </c>
      <c r="M96" s="13">
        <v>70.61</v>
      </c>
      <c r="N96" s="20" t="s">
        <v>81</v>
      </c>
      <c r="O96" s="33" t="str">
        <f>VLOOKUP(N96,Reference!A:B,2,)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7" spans="1:15">
      <c r="A97" s="9">
        <v>96</v>
      </c>
      <c r="B97" s="10" t="s">
        <v>53</v>
      </c>
      <c r="C97" s="14">
        <v>33.6</v>
      </c>
      <c r="D97" s="14">
        <v>18.600000000000001</v>
      </c>
      <c r="E97" s="14">
        <v>15.3</v>
      </c>
      <c r="F97" s="14">
        <v>0.4</v>
      </c>
      <c r="G97" s="14" t="s">
        <v>2</v>
      </c>
      <c r="H97" s="15" t="s">
        <v>27</v>
      </c>
      <c r="I97" s="18" t="s">
        <v>59</v>
      </c>
      <c r="J97" s="14" t="s">
        <v>58</v>
      </c>
      <c r="K97" s="14">
        <v>120</v>
      </c>
      <c r="L97" s="14">
        <v>6</v>
      </c>
      <c r="M97" s="13">
        <v>20.75</v>
      </c>
      <c r="N97" s="20" t="s">
        <v>81</v>
      </c>
      <c r="O97" s="33" t="str">
        <f>VLOOKUP(N97,Reference!A:B,2,)</f>
        <v>Zhao, P.; Pu, F.; Su, C.; Wan, Y.; Huang, T.; Hou, X.; Cai, D. Towards valorization of rice straw into bioethanol and lignin: Emphasizing critical role of deep eutectic solvent components in biorefining process. Bioresource Technology 2024, 399, 130635. DOI: https://doi.org/10.1016/j.biortech.2024.130635.</v>
      </c>
    </row>
    <row r="98" spans="1:15">
      <c r="A98" s="9">
        <v>97</v>
      </c>
      <c r="B98" s="10" t="s">
        <v>53</v>
      </c>
      <c r="C98" s="14">
        <v>30.3</v>
      </c>
      <c r="D98" s="14">
        <v>16.7</v>
      </c>
      <c r="E98" s="14">
        <v>21.5</v>
      </c>
      <c r="F98" s="14">
        <v>1.2</v>
      </c>
      <c r="G98" s="14" t="s">
        <v>2</v>
      </c>
      <c r="H98" s="14" t="s">
        <v>12</v>
      </c>
      <c r="I98" s="18" t="s">
        <v>59</v>
      </c>
      <c r="J98" s="18" t="s">
        <v>67</v>
      </c>
      <c r="K98" s="14">
        <v>150</v>
      </c>
      <c r="L98" s="14">
        <v>15</v>
      </c>
      <c r="M98" s="14">
        <v>30.7</v>
      </c>
      <c r="N98" s="20" t="s">
        <v>82</v>
      </c>
      <c r="O98" s="33" t="str">
        <f>VLOOKUP(N98,Reference!A:B,2,)</f>
        <v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v>
      </c>
    </row>
    <row r="99" spans="1:15">
      <c r="A99" s="9">
        <v>98</v>
      </c>
      <c r="B99" s="10" t="s">
        <v>53</v>
      </c>
      <c r="C99" s="14">
        <v>30.3</v>
      </c>
      <c r="D99" s="14">
        <v>16.7</v>
      </c>
      <c r="E99" s="14">
        <v>21.5</v>
      </c>
      <c r="F99" s="14">
        <v>1.2</v>
      </c>
      <c r="G99" s="14" t="s">
        <v>2</v>
      </c>
      <c r="H99" s="14" t="s">
        <v>28</v>
      </c>
      <c r="I99" s="18" t="s">
        <v>65</v>
      </c>
      <c r="J99" s="18" t="s">
        <v>67</v>
      </c>
      <c r="K99" s="14">
        <v>150</v>
      </c>
      <c r="L99" s="14">
        <v>15</v>
      </c>
      <c r="M99" s="14">
        <v>43.2</v>
      </c>
      <c r="N99" s="20" t="s">
        <v>82</v>
      </c>
      <c r="O99" s="33" t="str">
        <f>VLOOKUP(N99,Reference!A:B,2,)</f>
        <v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v>
      </c>
    </row>
    <row r="100" spans="1:15">
      <c r="A100" s="9">
        <v>99</v>
      </c>
      <c r="B100" s="10" t="s">
        <v>53</v>
      </c>
      <c r="C100" s="14">
        <v>30.3</v>
      </c>
      <c r="D100" s="14">
        <v>16.7</v>
      </c>
      <c r="E100" s="14">
        <v>21.5</v>
      </c>
      <c r="F100" s="14">
        <v>1.2</v>
      </c>
      <c r="G100" s="14" t="s">
        <v>2</v>
      </c>
      <c r="H100" s="14" t="s">
        <v>18</v>
      </c>
      <c r="I100" s="18" t="s">
        <v>65</v>
      </c>
      <c r="J100" s="18" t="s">
        <v>67</v>
      </c>
      <c r="K100" s="14">
        <v>150</v>
      </c>
      <c r="L100" s="14">
        <v>15</v>
      </c>
      <c r="M100" s="14">
        <v>21.4</v>
      </c>
      <c r="N100" s="20" t="s">
        <v>82</v>
      </c>
      <c r="O100" s="33" t="str">
        <f>VLOOKUP(N100,Reference!A:B,2,)</f>
        <v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v>
      </c>
    </row>
    <row r="101" spans="1:15">
      <c r="A101" s="9">
        <v>100</v>
      </c>
      <c r="B101" s="10" t="s">
        <v>53</v>
      </c>
      <c r="C101" s="14">
        <v>30.3</v>
      </c>
      <c r="D101" s="14">
        <v>16.7</v>
      </c>
      <c r="E101" s="14">
        <v>21.5</v>
      </c>
      <c r="F101" s="14">
        <v>1.2</v>
      </c>
      <c r="G101" s="14" t="s">
        <v>2</v>
      </c>
      <c r="H101" s="14" t="s">
        <v>8</v>
      </c>
      <c r="I101" s="18" t="s">
        <v>59</v>
      </c>
      <c r="J101" s="18" t="s">
        <v>67</v>
      </c>
      <c r="K101" s="14">
        <v>150</v>
      </c>
      <c r="L101" s="14">
        <v>15</v>
      </c>
      <c r="M101" s="13">
        <v>52.2</v>
      </c>
      <c r="N101" s="20" t="s">
        <v>82</v>
      </c>
      <c r="O101" s="33" t="str">
        <f>VLOOKUP(N101,Reference!A:B,2,)</f>
        <v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v>
      </c>
    </row>
    <row r="102" spans="1:15">
      <c r="A102" s="9">
        <v>101</v>
      </c>
      <c r="B102" s="10" t="s">
        <v>53</v>
      </c>
      <c r="C102" s="14">
        <v>30.3</v>
      </c>
      <c r="D102" s="14">
        <v>16.7</v>
      </c>
      <c r="E102" s="14">
        <v>21.5</v>
      </c>
      <c r="F102" s="14">
        <v>1.2</v>
      </c>
      <c r="G102" s="14" t="s">
        <v>2</v>
      </c>
      <c r="H102" s="14" t="s">
        <v>8</v>
      </c>
      <c r="I102" s="18" t="s">
        <v>59</v>
      </c>
      <c r="J102" s="18" t="s">
        <v>67</v>
      </c>
      <c r="K102" s="14">
        <v>150</v>
      </c>
      <c r="L102" s="14">
        <v>24</v>
      </c>
      <c r="M102" s="13">
        <v>53.3</v>
      </c>
      <c r="N102" s="20" t="s">
        <v>82</v>
      </c>
      <c r="O102" s="33" t="str">
        <f>VLOOKUP(N102,Reference!A:B,2,)</f>
        <v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v>
      </c>
    </row>
    <row r="103" spans="1:15">
      <c r="A103" s="9">
        <v>102</v>
      </c>
      <c r="B103" s="10" t="s">
        <v>53</v>
      </c>
      <c r="C103" s="14">
        <v>30.3</v>
      </c>
      <c r="D103" s="14">
        <v>16.7</v>
      </c>
      <c r="E103" s="14">
        <v>21.5</v>
      </c>
      <c r="F103" s="14">
        <v>1.2</v>
      </c>
      <c r="G103" s="14" t="s">
        <v>2</v>
      </c>
      <c r="H103" s="14" t="s">
        <v>8</v>
      </c>
      <c r="I103" s="18" t="s">
        <v>59</v>
      </c>
      <c r="J103" s="18" t="s">
        <v>67</v>
      </c>
      <c r="K103" s="14">
        <v>150</v>
      </c>
      <c r="L103" s="14">
        <v>9</v>
      </c>
      <c r="M103" s="13">
        <v>30.5</v>
      </c>
      <c r="N103" s="20" t="s">
        <v>82</v>
      </c>
      <c r="O103" s="33" t="str">
        <f>VLOOKUP(N103,Reference!A:B,2,)</f>
        <v>Hossain, M. A.; Rahaman, M. S.; Yelle, D.; Shang, H.; Sun, Z.; Renneckar, S.; Dong, J.; Tulaphol, S.; Sathitsuksanoh, N. Effects of polyol-based deep eutectic solvents on the efficiency of rice straw enzymatic hydrolysis. Industrial Crops and Products 2021, 167, 113480. DOI: https://doi.org/10.1016/j.indcrop.2021.113480.</v>
      </c>
    </row>
    <row r="104" spans="1:15">
      <c r="A104" s="9">
        <v>103</v>
      </c>
      <c r="B104" s="10" t="s">
        <v>53</v>
      </c>
      <c r="C104" s="13">
        <v>35.49</v>
      </c>
      <c r="D104" s="13">
        <f t="shared" ref="D104:D109" si="0">16.03+2.51</f>
        <v>18.54</v>
      </c>
      <c r="E104" s="13">
        <v>14.84</v>
      </c>
      <c r="F104" s="13">
        <v>0.38</v>
      </c>
      <c r="G104" s="14" t="s">
        <v>2</v>
      </c>
      <c r="H104" s="14" t="s">
        <v>7</v>
      </c>
      <c r="I104" s="14" t="s">
        <v>59</v>
      </c>
      <c r="J104" s="18" t="s">
        <v>55</v>
      </c>
      <c r="K104" s="14">
        <v>110</v>
      </c>
      <c r="L104" s="14">
        <v>4</v>
      </c>
      <c r="M104" s="13">
        <v>41.24</v>
      </c>
      <c r="N104" s="20" t="s">
        <v>83</v>
      </c>
      <c r="O104" s="33" t="str">
        <f>VLOOKUP(N104,Reference!A:B,2,)</f>
        <v>Pan, M.; Zhao, G.; Ding, C.; Wu, B.; Lian, Z.; Lian, H. Physicochemical transformation of rice straw after pretreatment with a deep eutectic solvent of choline chloride/urea. Carbohydrate Polymers 2017, 176, 307-314. DOI: https://doi.org/10.1016/j.carbpol.2017.08.088.</v>
      </c>
    </row>
    <row r="105" spans="1:15">
      <c r="A105" s="9">
        <v>104</v>
      </c>
      <c r="B105" s="10" t="s">
        <v>53</v>
      </c>
      <c r="C105" s="13">
        <v>35.49</v>
      </c>
      <c r="D105" s="13">
        <f t="shared" si="0"/>
        <v>18.54</v>
      </c>
      <c r="E105" s="13">
        <v>14.84</v>
      </c>
      <c r="F105" s="13">
        <v>0.38</v>
      </c>
      <c r="G105" s="14" t="s">
        <v>2</v>
      </c>
      <c r="H105" s="14" t="s">
        <v>7</v>
      </c>
      <c r="I105" s="14" t="s">
        <v>59</v>
      </c>
      <c r="J105" s="18" t="s">
        <v>55</v>
      </c>
      <c r="K105" s="14">
        <v>110</v>
      </c>
      <c r="L105" s="14">
        <v>6</v>
      </c>
      <c r="M105" s="13">
        <v>32.08</v>
      </c>
      <c r="N105" s="20" t="s">
        <v>83</v>
      </c>
      <c r="O105" s="33" t="str">
        <f>VLOOKUP(N105,Reference!A:B,2,)</f>
        <v>Pan, M.; Zhao, G.; Ding, C.; Wu, B.; Lian, Z.; Lian, H. Physicochemical transformation of rice straw after pretreatment with a deep eutectic solvent of choline chloride/urea. Carbohydrate Polymers 2017, 176, 307-314. DOI: https://doi.org/10.1016/j.carbpol.2017.08.088.</v>
      </c>
    </row>
    <row r="106" spans="1:15">
      <c r="A106" s="9">
        <v>105</v>
      </c>
      <c r="B106" s="10" t="s">
        <v>53</v>
      </c>
      <c r="C106" s="13">
        <v>35.49</v>
      </c>
      <c r="D106" s="13">
        <f t="shared" si="0"/>
        <v>18.54</v>
      </c>
      <c r="E106" s="13">
        <v>14.84</v>
      </c>
      <c r="F106" s="13">
        <v>0.38</v>
      </c>
      <c r="G106" s="14" t="s">
        <v>2</v>
      </c>
      <c r="H106" s="14" t="s">
        <v>7</v>
      </c>
      <c r="I106" s="14" t="s">
        <v>59</v>
      </c>
      <c r="J106" s="18" t="s">
        <v>55</v>
      </c>
      <c r="K106" s="14">
        <v>110</v>
      </c>
      <c r="L106" s="14">
        <v>8</v>
      </c>
      <c r="M106" s="13">
        <v>33.29</v>
      </c>
      <c r="N106" s="20" t="s">
        <v>83</v>
      </c>
      <c r="O106" s="33" t="str">
        <f>VLOOKUP(N106,Reference!A:B,2,)</f>
        <v>Pan, M.; Zhao, G.; Ding, C.; Wu, B.; Lian, Z.; Lian, H. Physicochemical transformation of rice straw after pretreatment with a deep eutectic solvent of choline chloride/urea. Carbohydrate Polymers 2017, 176, 307-314. DOI: https://doi.org/10.1016/j.carbpol.2017.08.088.</v>
      </c>
    </row>
    <row r="107" spans="1:15">
      <c r="A107" s="9">
        <v>106</v>
      </c>
      <c r="B107" s="10" t="s">
        <v>53</v>
      </c>
      <c r="C107" s="13">
        <v>35.49</v>
      </c>
      <c r="D107" s="13">
        <f t="shared" si="0"/>
        <v>18.54</v>
      </c>
      <c r="E107" s="13">
        <v>14.84</v>
      </c>
      <c r="F107" s="13">
        <v>0.38</v>
      </c>
      <c r="G107" s="14" t="s">
        <v>2</v>
      </c>
      <c r="H107" s="14" t="s">
        <v>7</v>
      </c>
      <c r="I107" s="14" t="s">
        <v>59</v>
      </c>
      <c r="J107" s="18" t="s">
        <v>55</v>
      </c>
      <c r="K107" s="14">
        <v>130</v>
      </c>
      <c r="L107" s="14">
        <v>4</v>
      </c>
      <c r="M107" s="13">
        <v>35.71</v>
      </c>
      <c r="N107" s="20" t="s">
        <v>83</v>
      </c>
      <c r="O107" s="33" t="str">
        <f>VLOOKUP(N107,Reference!A:B,2,)</f>
        <v>Pan, M.; Zhao, G.; Ding, C.; Wu, B.; Lian, Z.; Lian, H. Physicochemical transformation of rice straw after pretreatment with a deep eutectic solvent of choline chloride/urea. Carbohydrate Polymers 2017, 176, 307-314. DOI: https://doi.org/10.1016/j.carbpol.2017.08.088.</v>
      </c>
    </row>
    <row r="108" spans="1:15">
      <c r="A108" s="9">
        <v>107</v>
      </c>
      <c r="B108" s="10" t="s">
        <v>53</v>
      </c>
      <c r="C108" s="13">
        <v>35.49</v>
      </c>
      <c r="D108" s="13">
        <f t="shared" si="0"/>
        <v>18.54</v>
      </c>
      <c r="E108" s="13">
        <v>14.84</v>
      </c>
      <c r="F108" s="13">
        <v>0.38</v>
      </c>
      <c r="G108" s="14" t="s">
        <v>2</v>
      </c>
      <c r="H108" s="14" t="s">
        <v>7</v>
      </c>
      <c r="I108" s="14" t="s">
        <v>59</v>
      </c>
      <c r="J108" s="18" t="s">
        <v>55</v>
      </c>
      <c r="K108" s="14">
        <v>130</v>
      </c>
      <c r="L108" s="14">
        <v>6</v>
      </c>
      <c r="M108" s="13">
        <v>43.19</v>
      </c>
      <c r="N108" s="20" t="s">
        <v>83</v>
      </c>
      <c r="O108" s="33" t="str">
        <f>VLOOKUP(N108,Reference!A:B,2,)</f>
        <v>Pan, M.; Zhao, G.; Ding, C.; Wu, B.; Lian, Z.; Lian, H. Physicochemical transformation of rice straw after pretreatment with a deep eutectic solvent of choline chloride/urea. Carbohydrate Polymers 2017, 176, 307-314. DOI: https://doi.org/10.1016/j.carbpol.2017.08.088.</v>
      </c>
    </row>
    <row r="109" spans="1:15">
      <c r="A109" s="9">
        <v>108</v>
      </c>
      <c r="B109" s="10" t="s">
        <v>53</v>
      </c>
      <c r="C109" s="13">
        <v>35.49</v>
      </c>
      <c r="D109" s="13">
        <f t="shared" si="0"/>
        <v>18.54</v>
      </c>
      <c r="E109" s="13">
        <v>14.84</v>
      </c>
      <c r="F109" s="13">
        <v>0.38</v>
      </c>
      <c r="G109" s="14" t="s">
        <v>2</v>
      </c>
      <c r="H109" s="14" t="s">
        <v>7</v>
      </c>
      <c r="I109" s="14" t="s">
        <v>59</v>
      </c>
      <c r="J109" s="18" t="s">
        <v>55</v>
      </c>
      <c r="K109" s="14">
        <v>130</v>
      </c>
      <c r="L109" s="14">
        <v>8</v>
      </c>
      <c r="M109" s="13">
        <v>44.74</v>
      </c>
      <c r="N109" s="20" t="s">
        <v>83</v>
      </c>
      <c r="O109" s="33" t="str">
        <f>VLOOKUP(N109,Reference!A:B,2,)</f>
        <v>Pan, M.; Zhao, G.; Ding, C.; Wu, B.; Lian, Z.; Lian, H. Physicochemical transformation of rice straw after pretreatment with a deep eutectic solvent of choline chloride/urea. Carbohydrate Polymers 2017, 176, 307-314. DOI: https://doi.org/10.1016/j.carbpol.2017.08.088.</v>
      </c>
    </row>
    <row r="110" spans="1:15">
      <c r="A110" s="9">
        <v>109</v>
      </c>
      <c r="B110" s="27" t="s">
        <v>85</v>
      </c>
      <c r="C110" s="14" t="s">
        <v>86</v>
      </c>
      <c r="D110" s="14" t="s">
        <v>87</v>
      </c>
      <c r="E110" s="14">
        <v>20.13</v>
      </c>
      <c r="F110" s="14">
        <v>0.38</v>
      </c>
      <c r="G110" s="14" t="s">
        <v>2</v>
      </c>
      <c r="H110" s="14" t="s">
        <v>8</v>
      </c>
      <c r="I110" s="14" t="s">
        <v>59</v>
      </c>
      <c r="J110" s="14" t="s">
        <v>58</v>
      </c>
      <c r="K110" s="14">
        <v>110</v>
      </c>
      <c r="L110" s="14">
        <v>1</v>
      </c>
      <c r="M110" s="14">
        <v>17.72</v>
      </c>
      <c r="N110" s="20" t="s">
        <v>84</v>
      </c>
      <c r="O110" s="33" t="str">
        <f>VLOOKUP(N110,Reference!A:B,2,)</f>
        <v>Chen, Z.; Reznicek, W. D.; Wan, C. Deep eutectic solvent pretreatment enabling full utilization of switchgrass. Bioresource Technology 2018, 263, 40-48. DOI: https://doi.org/10.1016/j.biortech.2018.04.058.</v>
      </c>
    </row>
    <row r="111" spans="1:15">
      <c r="A111" s="9">
        <v>110</v>
      </c>
      <c r="B111" s="27" t="s">
        <v>85</v>
      </c>
      <c r="C111" s="13">
        <v>36.9</v>
      </c>
      <c r="D111" s="13">
        <v>25.3</v>
      </c>
      <c r="E111" s="13">
        <v>25.5</v>
      </c>
      <c r="F111" s="14">
        <v>0.38</v>
      </c>
      <c r="G111" s="14" t="s">
        <v>2</v>
      </c>
      <c r="H111" s="19" t="s">
        <v>29</v>
      </c>
      <c r="I111" s="18" t="s">
        <v>65</v>
      </c>
      <c r="J111" s="18" t="s">
        <v>55</v>
      </c>
      <c r="K111" s="14">
        <v>160</v>
      </c>
      <c r="L111" s="14">
        <v>3</v>
      </c>
      <c r="M111" s="13">
        <v>49</v>
      </c>
      <c r="N111" s="20" t="s">
        <v>88</v>
      </c>
      <c r="O111" s="33" t="str">
        <f>VLOOKUP(N111,Reference!A:B,2,)</f>
        <v>Kim, K. H.; Dutta, T.; Sun, J.; Simmons, B.; Singh, S. Biomass pretreatment using deep eutectic solvents from lignin derived phenols. Green Chemistry 2018, 20 (4), 809-815, 10.1039/C7GC03029K. DOI: 10.1039/C7GC03029K.</v>
      </c>
    </row>
    <row r="112" spans="1:15">
      <c r="A112" s="9">
        <v>111</v>
      </c>
      <c r="B112" s="27" t="s">
        <v>85</v>
      </c>
      <c r="C112" s="13">
        <v>36.9</v>
      </c>
      <c r="D112" s="13">
        <v>25.3</v>
      </c>
      <c r="E112" s="13">
        <v>25.5</v>
      </c>
      <c r="F112" s="14">
        <v>0.38</v>
      </c>
      <c r="G112" s="14" t="s">
        <v>2</v>
      </c>
      <c r="H112" s="19" t="s">
        <v>30</v>
      </c>
      <c r="I112" s="18" t="s">
        <v>59</v>
      </c>
      <c r="J112" s="18" t="s">
        <v>55</v>
      </c>
      <c r="K112" s="14">
        <v>160</v>
      </c>
      <c r="L112" s="14">
        <v>3</v>
      </c>
      <c r="M112" s="13">
        <v>52.5</v>
      </c>
      <c r="N112" s="20" t="s">
        <v>88</v>
      </c>
      <c r="O112" s="33" t="str">
        <f>VLOOKUP(N112,Reference!A:B,2,)</f>
        <v>Kim, K. H.; Dutta, T.; Sun, J.; Simmons, B.; Singh, S. Biomass pretreatment using deep eutectic solvents from lignin derived phenols. Green Chemistry 2018, 20 (4), 809-815, 10.1039/C7GC03029K. DOI: 10.1039/C7GC03029K.</v>
      </c>
    </row>
    <row r="113" spans="1:15">
      <c r="A113" s="9">
        <v>112</v>
      </c>
      <c r="B113" s="27" t="s">
        <v>85</v>
      </c>
      <c r="C113" s="13">
        <v>36.9</v>
      </c>
      <c r="D113" s="13">
        <v>25.3</v>
      </c>
      <c r="E113" s="13">
        <v>25.5</v>
      </c>
      <c r="F113" s="14">
        <v>0.38</v>
      </c>
      <c r="G113" s="14" t="s">
        <v>2</v>
      </c>
      <c r="H113" s="19" t="s">
        <v>31</v>
      </c>
      <c r="I113" s="18" t="s">
        <v>65</v>
      </c>
      <c r="J113" s="18" t="s">
        <v>55</v>
      </c>
      <c r="K113" s="14">
        <v>160</v>
      </c>
      <c r="L113" s="14">
        <v>3</v>
      </c>
      <c r="M113" s="13">
        <v>60.8</v>
      </c>
      <c r="N113" s="20" t="s">
        <v>88</v>
      </c>
      <c r="O113" s="33" t="str">
        <f>VLOOKUP(N113,Reference!A:B,2,)</f>
        <v>Kim, K. H.; Dutta, T.; Sun, J.; Simmons, B.; Singh, S. Biomass pretreatment using deep eutectic solvents from lignin derived phenols. Green Chemistry 2018, 20 (4), 809-815, 10.1039/C7GC03029K. DOI: 10.1039/C7GC03029K.</v>
      </c>
    </row>
    <row r="114" spans="1:15">
      <c r="A114" s="9">
        <v>113</v>
      </c>
      <c r="B114" s="27" t="s">
        <v>85</v>
      </c>
      <c r="C114" s="13">
        <v>34.5</v>
      </c>
      <c r="D114" s="13">
        <v>23.3</v>
      </c>
      <c r="E114" s="13">
        <v>20.399999999999999</v>
      </c>
      <c r="F114" s="13">
        <v>2</v>
      </c>
      <c r="G114" s="14" t="s">
        <v>2</v>
      </c>
      <c r="H114" s="14" t="s">
        <v>12</v>
      </c>
      <c r="I114" s="18" t="s">
        <v>59</v>
      </c>
      <c r="J114" s="18" t="s">
        <v>58</v>
      </c>
      <c r="K114" s="14">
        <v>130</v>
      </c>
      <c r="L114" s="14">
        <v>0.5</v>
      </c>
      <c r="M114" s="13">
        <v>24</v>
      </c>
      <c r="N114" s="20" t="s">
        <v>89</v>
      </c>
      <c r="O114" s="33" t="str">
        <f>VLOOKUP(N114,Reference!A:B,2,)</f>
        <v>Chen, Z.; Bai, X.; A, L.; Wan, C. High-Solid Lignocellulose Processing Enabled by Natural Deep Eutectic Solvent for Lignin Extraction and Industrially Relevant Production of Renewable Chemicals. ACS Sustainable Chemistry &amp; Engineering 2018, 6 (9), 12205-12216. DOI: 10.1021/acssuschemeng.8b02541.</v>
      </c>
    </row>
    <row r="115" spans="1:15">
      <c r="A115" s="9">
        <v>114</v>
      </c>
      <c r="B115" s="27" t="s">
        <v>91</v>
      </c>
      <c r="C115" s="13">
        <v>26.5</v>
      </c>
      <c r="D115" s="13">
        <v>11.2</v>
      </c>
      <c r="E115" s="13">
        <v>14.8</v>
      </c>
      <c r="F115" s="13">
        <v>0.25</v>
      </c>
      <c r="G115" s="14" t="s">
        <v>2</v>
      </c>
      <c r="H115" s="14" t="s">
        <v>32</v>
      </c>
      <c r="I115" s="18" t="s">
        <v>59</v>
      </c>
      <c r="J115" s="18" t="s">
        <v>55</v>
      </c>
      <c r="K115" s="14">
        <v>80</v>
      </c>
      <c r="L115" s="14">
        <v>3</v>
      </c>
      <c r="M115" s="13">
        <v>10.4</v>
      </c>
      <c r="N115" s="20" t="s">
        <v>90</v>
      </c>
      <c r="O115" s="33" t="str">
        <f>VLOOKUP(N115,Reference!A:B,2,)</f>
        <v>Kim, K. H.; Eudes, A.; Jeong, K.; Yoo, C. G.; Kim, C. S.; Ragauskas, A. Integration of renewable deep eutectic solvents with engineered biomass to achieve a closed-loop biorefinery. Proceedings of the National Academy of Sciences 2019, 116 (28), 13816-13824. DOI: doi:10.1073/pnas.1904636116.</v>
      </c>
    </row>
    <row r="116" spans="1:15">
      <c r="A116" s="9">
        <v>115</v>
      </c>
      <c r="B116" s="27" t="s">
        <v>91</v>
      </c>
      <c r="C116" s="13">
        <v>26.5</v>
      </c>
      <c r="D116" s="13">
        <v>11.2</v>
      </c>
      <c r="E116" s="13">
        <v>14.8</v>
      </c>
      <c r="F116" s="13">
        <v>0.25</v>
      </c>
      <c r="G116" s="14" t="s">
        <v>2</v>
      </c>
      <c r="H116" s="19" t="s">
        <v>30</v>
      </c>
      <c r="I116" s="18" t="s">
        <v>59</v>
      </c>
      <c r="J116" s="18" t="s">
        <v>55</v>
      </c>
      <c r="K116" s="14">
        <v>80</v>
      </c>
      <c r="L116" s="14">
        <v>3</v>
      </c>
      <c r="M116" s="13">
        <v>5.0999999999999996</v>
      </c>
      <c r="N116" s="20" t="s">
        <v>90</v>
      </c>
      <c r="O116" s="33" t="str">
        <f>VLOOKUP(N116,Reference!A:B,2,)</f>
        <v>Kim, K. H.; Eudes, A.; Jeong, K.; Yoo, C. G.; Kim, C. S.; Ragauskas, A. Integration of renewable deep eutectic solvents with engineered biomass to achieve a closed-loop biorefinery. Proceedings of the National Academy of Sciences 2019, 116 (28), 13816-13824. DOI: doi:10.1073/pnas.1904636116.</v>
      </c>
    </row>
    <row r="117" spans="1:15">
      <c r="A117" s="9">
        <v>116</v>
      </c>
      <c r="B117" s="27" t="s">
        <v>91</v>
      </c>
      <c r="C117" s="13">
        <v>29.6</v>
      </c>
      <c r="D117" s="13">
        <v>13.3</v>
      </c>
      <c r="E117" s="13">
        <v>12.7</v>
      </c>
      <c r="F117" s="13">
        <v>0.25</v>
      </c>
      <c r="G117" s="14" t="s">
        <v>2</v>
      </c>
      <c r="H117" s="14" t="s">
        <v>32</v>
      </c>
      <c r="I117" s="18" t="s">
        <v>59</v>
      </c>
      <c r="J117" s="18" t="s">
        <v>55</v>
      </c>
      <c r="K117" s="14">
        <v>80</v>
      </c>
      <c r="L117" s="14">
        <v>3</v>
      </c>
      <c r="M117" s="13">
        <v>32.4</v>
      </c>
      <c r="N117" s="20" t="s">
        <v>90</v>
      </c>
      <c r="O117" s="33" t="str">
        <f>VLOOKUP(N117,Reference!A:B,2,)</f>
        <v>Kim, K. H.; Eudes, A.; Jeong, K.; Yoo, C. G.; Kim, C. S.; Ragauskas, A. Integration of renewable deep eutectic solvents with engineered biomass to achieve a closed-loop biorefinery. Proceedings of the National Academy of Sciences 2019, 116 (28), 13816-13824. DOI: doi:10.1073/pnas.1904636116.</v>
      </c>
    </row>
    <row r="118" spans="1:15">
      <c r="A118" s="9">
        <v>117</v>
      </c>
      <c r="B118" s="27" t="s">
        <v>91</v>
      </c>
      <c r="C118" s="13">
        <v>29.6</v>
      </c>
      <c r="D118" s="13">
        <v>13.3</v>
      </c>
      <c r="E118" s="13">
        <v>12.7</v>
      </c>
      <c r="F118" s="13">
        <v>0.25</v>
      </c>
      <c r="G118" s="14" t="s">
        <v>2</v>
      </c>
      <c r="H118" s="19" t="s">
        <v>30</v>
      </c>
      <c r="I118" s="18" t="s">
        <v>59</v>
      </c>
      <c r="J118" s="18" t="s">
        <v>55</v>
      </c>
      <c r="K118" s="14">
        <v>80</v>
      </c>
      <c r="L118" s="14">
        <v>3</v>
      </c>
      <c r="M118" s="13">
        <v>24.6</v>
      </c>
      <c r="N118" s="20" t="s">
        <v>90</v>
      </c>
      <c r="O118" s="33" t="str">
        <f>VLOOKUP(N118,Reference!A:B,2,)</f>
        <v>Kim, K. H.; Eudes, A.; Jeong, K.; Yoo, C. G.; Kim, C. S.; Ragauskas, A. Integration of renewable deep eutectic solvents with engineered biomass to achieve a closed-loop biorefinery. Proceedings of the National Academy of Sciences 2019, 116 (28), 13816-13824. DOI: doi:10.1073/pnas.1904636116.</v>
      </c>
    </row>
    <row r="119" spans="1:15">
      <c r="A119" s="9">
        <v>118</v>
      </c>
      <c r="B119" s="27" t="s">
        <v>91</v>
      </c>
      <c r="C119" s="13">
        <v>36.53</v>
      </c>
      <c r="D119" s="13">
        <v>21.47</v>
      </c>
      <c r="E119" s="13">
        <v>21.5</v>
      </c>
      <c r="F119" s="13">
        <v>0.83</v>
      </c>
      <c r="G119" s="14" t="s">
        <v>2</v>
      </c>
      <c r="H119" s="14" t="s">
        <v>8</v>
      </c>
      <c r="I119" s="18" t="s">
        <v>59</v>
      </c>
      <c r="J119" s="18" t="s">
        <v>55</v>
      </c>
      <c r="K119" s="21">
        <v>80</v>
      </c>
      <c r="L119" s="14">
        <v>12</v>
      </c>
      <c r="M119" s="13">
        <v>45.44</v>
      </c>
      <c r="N119" s="20" t="s">
        <v>92</v>
      </c>
      <c r="O119" s="33" t="str">
        <f>VLOOKUP(N119,Reference!A:B,2,)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0" spans="1:15">
      <c r="A120" s="9">
        <v>119</v>
      </c>
      <c r="B120" s="27" t="s">
        <v>91</v>
      </c>
      <c r="C120" s="13">
        <v>36.53</v>
      </c>
      <c r="D120" s="13">
        <v>21.47</v>
      </c>
      <c r="E120" s="13">
        <v>21.5</v>
      </c>
      <c r="F120" s="13">
        <v>0.83</v>
      </c>
      <c r="G120" s="14" t="s">
        <v>2</v>
      </c>
      <c r="H120" s="14" t="s">
        <v>9</v>
      </c>
      <c r="I120" s="18" t="s">
        <v>64</v>
      </c>
      <c r="J120" s="18" t="s">
        <v>55</v>
      </c>
      <c r="K120" s="21">
        <v>80</v>
      </c>
      <c r="L120" s="14">
        <v>12</v>
      </c>
      <c r="M120" s="13">
        <v>62.25</v>
      </c>
      <c r="N120" s="20" t="s">
        <v>92</v>
      </c>
      <c r="O120" s="33" t="str">
        <f>VLOOKUP(N120,Reference!A:B,2,)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1" spans="1:15">
      <c r="A121" s="9">
        <v>120</v>
      </c>
      <c r="B121" s="27" t="s">
        <v>91</v>
      </c>
      <c r="C121" s="13">
        <v>36.53</v>
      </c>
      <c r="D121" s="13">
        <v>21.47</v>
      </c>
      <c r="E121" s="13">
        <v>21.5</v>
      </c>
      <c r="F121" s="13">
        <v>0.83</v>
      </c>
      <c r="G121" s="14" t="s">
        <v>2</v>
      </c>
      <c r="H121" s="14" t="s">
        <v>14</v>
      </c>
      <c r="I121" s="18" t="s">
        <v>65</v>
      </c>
      <c r="J121" s="18" t="s">
        <v>55</v>
      </c>
      <c r="K121" s="21">
        <v>80</v>
      </c>
      <c r="L121" s="14">
        <v>12</v>
      </c>
      <c r="M121" s="13">
        <v>45.95</v>
      </c>
      <c r="N121" s="20" t="s">
        <v>92</v>
      </c>
      <c r="O121" s="33" t="str">
        <f>VLOOKUP(N121,Reference!A:B,2,)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2" spans="1:15">
      <c r="A122" s="9">
        <v>121</v>
      </c>
      <c r="B122" s="27" t="s">
        <v>91</v>
      </c>
      <c r="C122" s="13">
        <v>31.87</v>
      </c>
      <c r="D122" s="13">
        <v>19.57</v>
      </c>
      <c r="E122" s="13">
        <v>22.73</v>
      </c>
      <c r="F122" s="13">
        <v>0.83</v>
      </c>
      <c r="G122" s="14" t="s">
        <v>2</v>
      </c>
      <c r="H122" s="14" t="s">
        <v>8</v>
      </c>
      <c r="I122" s="18" t="s">
        <v>59</v>
      </c>
      <c r="J122" s="18" t="s">
        <v>55</v>
      </c>
      <c r="K122" s="21">
        <v>80</v>
      </c>
      <c r="L122" s="14">
        <v>12</v>
      </c>
      <c r="M122" s="13">
        <v>52.42</v>
      </c>
      <c r="N122" s="20" t="s">
        <v>92</v>
      </c>
      <c r="O122" s="33" t="str">
        <f>VLOOKUP(N122,Reference!A:B,2,)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3" spans="1:15">
      <c r="A123" s="9">
        <v>122</v>
      </c>
      <c r="B123" s="27" t="s">
        <v>91</v>
      </c>
      <c r="C123" s="13">
        <v>31.87</v>
      </c>
      <c r="D123" s="13">
        <v>19.57</v>
      </c>
      <c r="E123" s="13">
        <v>22.73</v>
      </c>
      <c r="F123" s="13">
        <v>0.83</v>
      </c>
      <c r="G123" s="14" t="s">
        <v>2</v>
      </c>
      <c r="H123" s="14" t="s">
        <v>9</v>
      </c>
      <c r="I123" s="18" t="s">
        <v>64</v>
      </c>
      <c r="J123" s="18" t="s">
        <v>55</v>
      </c>
      <c r="K123" s="21">
        <v>80</v>
      </c>
      <c r="L123" s="14">
        <v>12</v>
      </c>
      <c r="M123" s="13">
        <v>73.349999999999994</v>
      </c>
      <c r="N123" s="20" t="s">
        <v>92</v>
      </c>
      <c r="O123" s="33" t="str">
        <f>VLOOKUP(N123,Reference!A:B,2,)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4" spans="1:15">
      <c r="A124" s="9">
        <v>123</v>
      </c>
      <c r="B124" s="27" t="s">
        <v>91</v>
      </c>
      <c r="C124" s="13">
        <v>31.87</v>
      </c>
      <c r="D124" s="13">
        <v>19.57</v>
      </c>
      <c r="E124" s="13">
        <v>22.73</v>
      </c>
      <c r="F124" s="13">
        <v>0.83</v>
      </c>
      <c r="G124" s="14" t="s">
        <v>2</v>
      </c>
      <c r="H124" s="14" t="s">
        <v>14</v>
      </c>
      <c r="I124" s="18" t="s">
        <v>65</v>
      </c>
      <c r="J124" s="18" t="s">
        <v>55</v>
      </c>
      <c r="K124" s="21">
        <v>80</v>
      </c>
      <c r="L124" s="14">
        <v>12</v>
      </c>
      <c r="M124" s="13">
        <v>48.32</v>
      </c>
      <c r="N124" s="20" t="s">
        <v>92</v>
      </c>
      <c r="O124" s="33" t="str">
        <f>VLOOKUP(N124,Reference!A:B,2,)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5" spans="1:15">
      <c r="A125" s="9">
        <v>124</v>
      </c>
      <c r="B125" s="27" t="s">
        <v>91</v>
      </c>
      <c r="C125" s="13">
        <v>36.07</v>
      </c>
      <c r="D125" s="13">
        <v>18.3</v>
      </c>
      <c r="E125" s="13">
        <v>21.83</v>
      </c>
      <c r="F125" s="13">
        <v>0.83</v>
      </c>
      <c r="G125" s="14" t="s">
        <v>2</v>
      </c>
      <c r="H125" s="14" t="s">
        <v>8</v>
      </c>
      <c r="I125" s="18" t="s">
        <v>59</v>
      </c>
      <c r="J125" s="18" t="s">
        <v>55</v>
      </c>
      <c r="K125" s="21">
        <v>80</v>
      </c>
      <c r="L125" s="14">
        <v>12</v>
      </c>
      <c r="M125" s="13">
        <v>49.89</v>
      </c>
      <c r="N125" s="20" t="s">
        <v>92</v>
      </c>
      <c r="O125" s="33" t="str">
        <f>VLOOKUP(N125,Reference!A:B,2,)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6" spans="1:15">
      <c r="A126" s="9">
        <v>125</v>
      </c>
      <c r="B126" s="27" t="s">
        <v>91</v>
      </c>
      <c r="C126" s="13">
        <v>36.07</v>
      </c>
      <c r="D126" s="13">
        <v>18.3</v>
      </c>
      <c r="E126" s="13">
        <v>21.83</v>
      </c>
      <c r="F126" s="13">
        <v>0.83</v>
      </c>
      <c r="G126" s="14" t="s">
        <v>2</v>
      </c>
      <c r="H126" s="14" t="s">
        <v>9</v>
      </c>
      <c r="I126" s="18" t="s">
        <v>64</v>
      </c>
      <c r="J126" s="18" t="s">
        <v>55</v>
      </c>
      <c r="K126" s="21">
        <v>80</v>
      </c>
      <c r="L126" s="14">
        <v>12</v>
      </c>
      <c r="M126" s="13">
        <v>65.349999999999994</v>
      </c>
      <c r="N126" s="20" t="s">
        <v>92</v>
      </c>
      <c r="O126" s="33" t="str">
        <f>VLOOKUP(N126,Reference!A:B,2,)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7" spans="1:15">
      <c r="A127" s="9">
        <v>126</v>
      </c>
      <c r="B127" s="27" t="s">
        <v>91</v>
      </c>
      <c r="C127" s="13">
        <v>36.07</v>
      </c>
      <c r="D127" s="13">
        <v>18.3</v>
      </c>
      <c r="E127" s="13">
        <v>21.83</v>
      </c>
      <c r="F127" s="13">
        <v>0.83</v>
      </c>
      <c r="G127" s="14" t="s">
        <v>2</v>
      </c>
      <c r="H127" s="14" t="s">
        <v>14</v>
      </c>
      <c r="I127" s="18" t="s">
        <v>65</v>
      </c>
      <c r="J127" s="18" t="s">
        <v>55</v>
      </c>
      <c r="K127" s="21">
        <v>80</v>
      </c>
      <c r="L127" s="14">
        <v>12</v>
      </c>
      <c r="M127" s="13">
        <v>42.34</v>
      </c>
      <c r="N127" s="20" t="s">
        <v>92</v>
      </c>
      <c r="O127" s="33" t="str">
        <f>VLOOKUP(N127,Reference!A:B,2,)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8" spans="1:15">
      <c r="A128" s="9">
        <v>127</v>
      </c>
      <c r="B128" s="27" t="s">
        <v>91</v>
      </c>
      <c r="C128" s="13">
        <v>33.17</v>
      </c>
      <c r="D128" s="13">
        <v>17.399999999999999</v>
      </c>
      <c r="E128" s="13">
        <v>21.97</v>
      </c>
      <c r="F128" s="13">
        <v>0.83</v>
      </c>
      <c r="G128" s="14" t="s">
        <v>2</v>
      </c>
      <c r="H128" s="14" t="s">
        <v>8</v>
      </c>
      <c r="I128" s="18" t="s">
        <v>59</v>
      </c>
      <c r="J128" s="18" t="s">
        <v>55</v>
      </c>
      <c r="K128" s="21">
        <v>80</v>
      </c>
      <c r="L128" s="14">
        <v>12</v>
      </c>
      <c r="M128" s="13">
        <v>69.680000000000007</v>
      </c>
      <c r="N128" s="20" t="s">
        <v>92</v>
      </c>
      <c r="O128" s="33" t="str">
        <f>VLOOKUP(N128,Reference!A:B,2,)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29" spans="1:15">
      <c r="A129" s="9">
        <v>128</v>
      </c>
      <c r="B129" s="27" t="s">
        <v>91</v>
      </c>
      <c r="C129" s="13">
        <v>33.17</v>
      </c>
      <c r="D129" s="13">
        <v>17.399999999999999</v>
      </c>
      <c r="E129" s="13">
        <v>21.97</v>
      </c>
      <c r="F129" s="13">
        <v>0.83</v>
      </c>
      <c r="G129" s="14" t="s">
        <v>2</v>
      </c>
      <c r="H129" s="14" t="s">
        <v>9</v>
      </c>
      <c r="I129" s="18" t="s">
        <v>64</v>
      </c>
      <c r="J129" s="18" t="s">
        <v>55</v>
      </c>
      <c r="K129" s="21">
        <v>80</v>
      </c>
      <c r="L129" s="14">
        <v>12</v>
      </c>
      <c r="M129" s="13">
        <v>74.099999999999994</v>
      </c>
      <c r="N129" s="20" t="s">
        <v>92</v>
      </c>
      <c r="O129" s="33" t="str">
        <f>VLOOKUP(N129,Reference!A:B,2,)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30" spans="1:15">
      <c r="A130" s="9">
        <v>129</v>
      </c>
      <c r="B130" s="27" t="s">
        <v>91</v>
      </c>
      <c r="C130" s="13">
        <v>33.17</v>
      </c>
      <c r="D130" s="13">
        <v>17.399999999999999</v>
      </c>
      <c r="E130" s="13">
        <v>21.97</v>
      </c>
      <c r="F130" s="13">
        <v>0.83</v>
      </c>
      <c r="G130" s="14" t="s">
        <v>2</v>
      </c>
      <c r="H130" s="14" t="s">
        <v>14</v>
      </c>
      <c r="I130" s="18" t="s">
        <v>65</v>
      </c>
      <c r="J130" s="18" t="s">
        <v>55</v>
      </c>
      <c r="K130" s="21">
        <v>80</v>
      </c>
      <c r="L130" s="14">
        <v>12</v>
      </c>
      <c r="M130" s="13">
        <v>47.91</v>
      </c>
      <c r="N130" s="20" t="s">
        <v>92</v>
      </c>
      <c r="O130" s="33" t="str">
        <f>VLOOKUP(N130,Reference!A:B,2,)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31" spans="1:15">
      <c r="A131" s="9">
        <v>130</v>
      </c>
      <c r="B131" s="27" t="s">
        <v>91</v>
      </c>
      <c r="C131" s="13">
        <v>39.97</v>
      </c>
      <c r="D131" s="13">
        <v>23.2</v>
      </c>
      <c r="E131" s="13">
        <v>25.5</v>
      </c>
      <c r="F131" s="13">
        <v>0.83</v>
      </c>
      <c r="G131" s="14" t="s">
        <v>2</v>
      </c>
      <c r="H131" s="14" t="s">
        <v>9</v>
      </c>
      <c r="I131" s="18" t="s">
        <v>64</v>
      </c>
      <c r="J131" s="18" t="s">
        <v>55</v>
      </c>
      <c r="K131" s="21">
        <v>80</v>
      </c>
      <c r="L131" s="14">
        <v>12</v>
      </c>
      <c r="M131" s="13">
        <v>81.63</v>
      </c>
      <c r="N131" s="20" t="s">
        <v>92</v>
      </c>
      <c r="O131" s="33" t="str">
        <f>VLOOKUP(N131,Reference!A:B,2,)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32" spans="1:15">
      <c r="A132" s="9">
        <v>131</v>
      </c>
      <c r="B132" s="27" t="s">
        <v>91</v>
      </c>
      <c r="C132" s="13">
        <v>39.97</v>
      </c>
      <c r="D132" s="13">
        <v>23.2</v>
      </c>
      <c r="E132" s="13">
        <v>25.5</v>
      </c>
      <c r="F132" s="13">
        <v>0.83</v>
      </c>
      <c r="G132" s="14" t="s">
        <v>2</v>
      </c>
      <c r="H132" s="14" t="s">
        <v>14</v>
      </c>
      <c r="I132" s="18" t="s">
        <v>65</v>
      </c>
      <c r="J132" s="18" t="s">
        <v>55</v>
      </c>
      <c r="K132" s="21">
        <v>80</v>
      </c>
      <c r="L132" s="14">
        <v>12</v>
      </c>
      <c r="M132" s="13">
        <v>59.81</v>
      </c>
      <c r="N132" s="20" t="s">
        <v>92</v>
      </c>
      <c r="O132" s="33" t="str">
        <f>VLOOKUP(N132,Reference!A:B,2,)</f>
        <v>Chourasia, V. R.; Pandey, A.; Pant, K. K.; Henry, R. J. Improving enzymatic digestibility of sugarcane bagasse from different varieties of sugarcane using deep eutectic solvent pretreatment. Bioresource Technology 2021, 337, 125480. DOI: https://doi.org/10.1016/j.biortech.2021.125480.</v>
      </c>
    </row>
    <row r="133" spans="1:15">
      <c r="A133" s="9">
        <v>132</v>
      </c>
      <c r="B133" s="27" t="s">
        <v>91</v>
      </c>
      <c r="C133" s="13">
        <v>43</v>
      </c>
      <c r="D133" s="13">
        <v>26.8</v>
      </c>
      <c r="E133" s="13">
        <v>25.9</v>
      </c>
      <c r="F133" s="13">
        <v>0.42499999999999999</v>
      </c>
      <c r="G133" s="14" t="s">
        <v>2</v>
      </c>
      <c r="H133" s="14" t="s">
        <v>12</v>
      </c>
      <c r="I133" s="18" t="s">
        <v>59</v>
      </c>
      <c r="J133" s="18" t="s">
        <v>58</v>
      </c>
      <c r="K133" s="21">
        <v>80</v>
      </c>
      <c r="L133" s="14">
        <v>12</v>
      </c>
      <c r="M133" s="13">
        <v>13.5</v>
      </c>
      <c r="N133" s="20" t="s">
        <v>93</v>
      </c>
      <c r="O133" s="33" t="str">
        <f>VLOOKUP(N133,Reference!A:B,2,)</f>
        <v>Satlewal, A.; Agrawal, R.; Das, P.; Bhagia, S.; Pu, Y.; Puri, S. K.; Ramakumar, S. S. V.; Ragauskas, A. J. Assessing the Facile Pretreatments of Bagasse for Efficient Enzymatic Conversion and Their Impacts on Structural and Chemical Properties. ACS Sustainable Chemistry &amp; Engineering 2019, 7 (1), 1095-1104. DOI: 10.1021/acssuschemeng.8b04773.</v>
      </c>
    </row>
    <row r="134" spans="1:15">
      <c r="A134" s="9">
        <v>133</v>
      </c>
      <c r="B134" s="27" t="s">
        <v>91</v>
      </c>
      <c r="C134" s="13">
        <v>43</v>
      </c>
      <c r="D134" s="13">
        <v>26.8</v>
      </c>
      <c r="E134" s="13">
        <v>25.9</v>
      </c>
      <c r="F134" s="22">
        <v>0.42499999999999999</v>
      </c>
      <c r="G134" s="14" t="s">
        <v>2</v>
      </c>
      <c r="H134" s="14" t="s">
        <v>9</v>
      </c>
      <c r="I134" s="18" t="s">
        <v>64</v>
      </c>
      <c r="J134" s="18" t="s">
        <v>58</v>
      </c>
      <c r="K134" s="21">
        <v>80</v>
      </c>
      <c r="L134" s="14">
        <v>12</v>
      </c>
      <c r="M134" s="13">
        <v>50.6</v>
      </c>
      <c r="N134" s="20" t="s">
        <v>93</v>
      </c>
      <c r="O134" s="33" t="str">
        <f>VLOOKUP(N134,Reference!A:B,2,)</f>
        <v>Satlewal, A.; Agrawal, R.; Das, P.; Bhagia, S.; Pu, Y.; Puri, S. K.; Ramakumar, S. S. V.; Ragauskas, A. J. Assessing the Facile Pretreatments of Bagasse for Efficient Enzymatic Conversion and Their Impacts on Structural and Chemical Properties. ACS Sustainable Chemistry &amp; Engineering 2019, 7 (1), 1095-1104. DOI: 10.1021/acssuschemeng.8b04773.</v>
      </c>
    </row>
    <row r="135" spans="1:15">
      <c r="A135" s="9">
        <v>134</v>
      </c>
      <c r="B135" s="27" t="s">
        <v>91</v>
      </c>
      <c r="C135" s="13">
        <v>43</v>
      </c>
      <c r="D135" s="13">
        <v>26.8</v>
      </c>
      <c r="E135" s="13">
        <v>25.9</v>
      </c>
      <c r="F135" s="22">
        <v>0.42499999999999999</v>
      </c>
      <c r="G135" s="14" t="s">
        <v>2</v>
      </c>
      <c r="H135" s="14" t="s">
        <v>8</v>
      </c>
      <c r="I135" s="18" t="s">
        <v>59</v>
      </c>
      <c r="J135" s="18" t="s">
        <v>58</v>
      </c>
      <c r="K135" s="21">
        <v>80</v>
      </c>
      <c r="L135" s="14">
        <v>12</v>
      </c>
      <c r="M135" s="13">
        <v>21.4</v>
      </c>
      <c r="N135" s="20" t="s">
        <v>93</v>
      </c>
      <c r="O135" s="33" t="str">
        <f>VLOOKUP(N135,Reference!A:B,2,)</f>
        <v>Satlewal, A.; Agrawal, R.; Das, P.; Bhagia, S.; Pu, Y.; Puri, S. K.; Ramakumar, S. S. V.; Ragauskas, A. J. Assessing the Facile Pretreatments of Bagasse for Efficient Enzymatic Conversion and Their Impacts on Structural and Chemical Properties. ACS Sustainable Chemistry &amp; Engineering 2019, 7 (1), 1095-1104. DOI: 10.1021/acssuschemeng.8b04773.</v>
      </c>
    </row>
    <row r="136" spans="1:15">
      <c r="A136" s="9">
        <v>135</v>
      </c>
      <c r="B136" s="27" t="s">
        <v>91</v>
      </c>
      <c r="C136" s="13">
        <v>43</v>
      </c>
      <c r="D136" s="13">
        <v>26.8</v>
      </c>
      <c r="E136" s="13">
        <v>25.9</v>
      </c>
      <c r="F136" s="22">
        <v>0.42499999999999999</v>
      </c>
      <c r="G136" s="14" t="s">
        <v>2</v>
      </c>
      <c r="H136" s="14" t="s">
        <v>7</v>
      </c>
      <c r="I136" s="18" t="s">
        <v>59</v>
      </c>
      <c r="J136" s="18" t="s">
        <v>58</v>
      </c>
      <c r="K136" s="21">
        <v>80</v>
      </c>
      <c r="L136" s="14">
        <v>12</v>
      </c>
      <c r="M136" s="13">
        <v>8.1</v>
      </c>
      <c r="N136" s="20" t="s">
        <v>93</v>
      </c>
      <c r="O136" s="33" t="str">
        <f>VLOOKUP(N136,Reference!A:B,2,)</f>
        <v>Satlewal, A.; Agrawal, R.; Das, P.; Bhagia, S.; Pu, Y.; Puri, S. K.; Ramakumar, S. S. V.; Ragauskas, A. J. Assessing the Facile Pretreatments of Bagasse for Efficient Enzymatic Conversion and Their Impacts on Structural and Chemical Properties. ACS Sustainable Chemistry &amp; Engineering 2019, 7 (1), 1095-1104. DOI: 10.1021/acssuschemeng.8b04773.</v>
      </c>
    </row>
    <row r="137" spans="1:15">
      <c r="A137" s="9">
        <v>136</v>
      </c>
      <c r="B137" s="27" t="s">
        <v>91</v>
      </c>
      <c r="C137" s="13">
        <v>43</v>
      </c>
      <c r="D137" s="13">
        <v>26.8</v>
      </c>
      <c r="E137" s="13">
        <v>25.9</v>
      </c>
      <c r="F137" s="22">
        <v>0.42499999999999999</v>
      </c>
      <c r="G137" s="14" t="s">
        <v>2</v>
      </c>
      <c r="H137" s="14" t="s">
        <v>33</v>
      </c>
      <c r="I137" s="18" t="s">
        <v>96</v>
      </c>
      <c r="J137" s="18" t="s">
        <v>58</v>
      </c>
      <c r="K137" s="21">
        <v>80</v>
      </c>
      <c r="L137" s="14">
        <v>12</v>
      </c>
      <c r="M137" s="13">
        <v>29.9</v>
      </c>
      <c r="N137" s="20" t="s">
        <v>93</v>
      </c>
      <c r="O137" s="33" t="str">
        <f>VLOOKUP(N137,Reference!A:B,2,)</f>
        <v>Satlewal, A.; Agrawal, R.; Das, P.; Bhagia, S.; Pu, Y.; Puri, S. K.; Ramakumar, S. S. V.; Ragauskas, A. J. Assessing the Facile Pretreatments of Bagasse for Efficient Enzymatic Conversion and Their Impacts on Structural and Chemical Properties. ACS Sustainable Chemistry &amp; Engineering 2019, 7 (1), 1095-1104. DOI: 10.1021/acssuschemeng.8b04773.</v>
      </c>
    </row>
    <row r="138" spans="1:15">
      <c r="A138" s="9">
        <v>137</v>
      </c>
      <c r="B138" s="27" t="s">
        <v>91</v>
      </c>
      <c r="C138" s="13">
        <v>40.880000000000003</v>
      </c>
      <c r="D138" s="13">
        <v>25.64</v>
      </c>
      <c r="E138" s="13">
        <v>23.42</v>
      </c>
      <c r="F138" s="13">
        <v>0.25</v>
      </c>
      <c r="G138" s="14" t="s">
        <v>2</v>
      </c>
      <c r="H138" s="14" t="s">
        <v>8</v>
      </c>
      <c r="I138" s="18" t="s">
        <v>59</v>
      </c>
      <c r="J138" s="18" t="s">
        <v>58</v>
      </c>
      <c r="K138" s="14">
        <v>150</v>
      </c>
      <c r="L138" s="14">
        <v>1</v>
      </c>
      <c r="M138" s="13">
        <v>26.02</v>
      </c>
      <c r="N138" s="20" t="s">
        <v>94</v>
      </c>
      <c r="O138" s="33" t="str">
        <f>VLOOKUP(N138,Reference!A:B,2,)</f>
        <v>Chen, H.; Sun, C.; Hu, Y.; Xia, C.; Sun, F.; Zhang, Z. Reaction characteristics of metal-salt coordinated deep eutectic solvents during lignocellulosic pretreatment. Journal of Environmental Chemical Engineering 2023, 11 (2), 109531. DOI: https://doi.org/10.1016/j.jece.2023.109531.</v>
      </c>
    </row>
    <row r="139" spans="1:15">
      <c r="A139" s="9">
        <v>138</v>
      </c>
      <c r="B139" s="27" t="s">
        <v>91</v>
      </c>
      <c r="C139" s="13">
        <v>32.39</v>
      </c>
      <c r="D139" s="13">
        <v>22.94</v>
      </c>
      <c r="E139" s="13">
        <v>21.91</v>
      </c>
      <c r="F139" s="13">
        <v>0.25</v>
      </c>
      <c r="G139" s="14" t="s">
        <v>2</v>
      </c>
      <c r="H139" s="14" t="s">
        <v>9</v>
      </c>
      <c r="I139" s="18" t="s">
        <v>59</v>
      </c>
      <c r="J139" s="18" t="s">
        <v>58</v>
      </c>
      <c r="K139" s="21">
        <v>130</v>
      </c>
      <c r="L139" s="14">
        <v>2</v>
      </c>
      <c r="M139" s="13">
        <v>61.93</v>
      </c>
      <c r="N139" s="20" t="s">
        <v>95</v>
      </c>
      <c r="O139" s="33" t="str">
        <f>VLOOKUP(N139,Reference!A:B,2,)</f>
        <v>Liang, X.; Zhu, Y.; Qi, B.; Li, S.; Luo, J.; Wan, Y. Structure-property-performance relationships of lactic acid-based deep eutectic solvents with different hydrogen bond acceptors for corn stover pretreatment. Bioresource Technology 2021, 336, 125312. DOI: https://doi.org/10.1016/j.biortech.2021.125312.</v>
      </c>
    </row>
    <row r="140" spans="1:15">
      <c r="A140" s="9">
        <v>139</v>
      </c>
      <c r="B140" s="27" t="s">
        <v>91</v>
      </c>
      <c r="C140" s="13">
        <v>43</v>
      </c>
      <c r="D140" s="13">
        <v>17</v>
      </c>
      <c r="E140" s="13">
        <v>21</v>
      </c>
      <c r="F140" s="13">
        <v>0.83</v>
      </c>
      <c r="G140" s="14" t="s">
        <v>2</v>
      </c>
      <c r="H140" s="19" t="s">
        <v>34</v>
      </c>
      <c r="I140" s="14" t="s">
        <v>65</v>
      </c>
      <c r="J140" s="14" t="s">
        <v>58</v>
      </c>
      <c r="K140" s="14">
        <v>160</v>
      </c>
      <c r="L140" s="14">
        <v>4</v>
      </c>
      <c r="M140" s="13">
        <v>58</v>
      </c>
      <c r="N140" s="20" t="s">
        <v>97</v>
      </c>
      <c r="O140" s="33" t="str">
        <f>VLOOKUP(N140,Reference!A:B,2,)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1" spans="1:15">
      <c r="A141" s="9">
        <v>140</v>
      </c>
      <c r="B141" s="27" t="s">
        <v>91</v>
      </c>
      <c r="C141" s="13">
        <v>43</v>
      </c>
      <c r="D141" s="13">
        <v>17</v>
      </c>
      <c r="E141" s="13">
        <v>21</v>
      </c>
      <c r="F141" s="13">
        <v>0.83</v>
      </c>
      <c r="G141" s="14" t="s">
        <v>2</v>
      </c>
      <c r="H141" s="19" t="s">
        <v>35</v>
      </c>
      <c r="I141" s="14" t="s">
        <v>65</v>
      </c>
      <c r="J141" s="14" t="s">
        <v>58</v>
      </c>
      <c r="K141" s="14">
        <v>160</v>
      </c>
      <c r="L141" s="14">
        <v>4</v>
      </c>
      <c r="M141" s="13">
        <v>53</v>
      </c>
      <c r="N141" s="20" t="s">
        <v>97</v>
      </c>
      <c r="O141" s="33" t="str">
        <f>VLOOKUP(N141,Reference!A:B,2,)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2" spans="1:15">
      <c r="A142" s="9">
        <v>141</v>
      </c>
      <c r="B142" s="27" t="s">
        <v>91</v>
      </c>
      <c r="C142" s="13">
        <v>43</v>
      </c>
      <c r="D142" s="13">
        <v>17</v>
      </c>
      <c r="E142" s="13">
        <v>21</v>
      </c>
      <c r="F142" s="13">
        <v>0.83</v>
      </c>
      <c r="G142" s="14" t="s">
        <v>2</v>
      </c>
      <c r="H142" s="19" t="s">
        <v>34</v>
      </c>
      <c r="I142" s="14" t="s">
        <v>65</v>
      </c>
      <c r="J142" s="14" t="s">
        <v>58</v>
      </c>
      <c r="K142" s="14">
        <v>120</v>
      </c>
      <c r="L142" s="14">
        <v>4</v>
      </c>
      <c r="M142" s="13">
        <v>24</v>
      </c>
      <c r="N142" s="20" t="s">
        <v>97</v>
      </c>
      <c r="O142" s="33" t="str">
        <f>VLOOKUP(N142,Reference!A:B,2,)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3" spans="1:15">
      <c r="A143" s="9">
        <v>142</v>
      </c>
      <c r="B143" s="27" t="s">
        <v>91</v>
      </c>
      <c r="C143" s="13">
        <v>43</v>
      </c>
      <c r="D143" s="13">
        <v>17</v>
      </c>
      <c r="E143" s="13">
        <v>21</v>
      </c>
      <c r="F143" s="13">
        <v>0.83</v>
      </c>
      <c r="G143" s="14" t="s">
        <v>2</v>
      </c>
      <c r="H143" s="19" t="s">
        <v>34</v>
      </c>
      <c r="I143" s="14" t="s">
        <v>65</v>
      </c>
      <c r="J143" s="14" t="s">
        <v>58</v>
      </c>
      <c r="K143" s="14">
        <v>140</v>
      </c>
      <c r="L143" s="14">
        <v>4</v>
      </c>
      <c r="M143" s="13">
        <v>30</v>
      </c>
      <c r="N143" s="20" t="s">
        <v>97</v>
      </c>
      <c r="O143" s="33" t="str">
        <f>VLOOKUP(N143,Reference!A:B,2,)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4" spans="1:15">
      <c r="A144" s="9">
        <v>143</v>
      </c>
      <c r="B144" s="27" t="s">
        <v>91</v>
      </c>
      <c r="C144" s="13">
        <v>43</v>
      </c>
      <c r="D144" s="13">
        <v>17</v>
      </c>
      <c r="E144" s="13">
        <v>21</v>
      </c>
      <c r="F144" s="13">
        <v>0.83</v>
      </c>
      <c r="G144" s="14" t="s">
        <v>2</v>
      </c>
      <c r="H144" s="19" t="s">
        <v>34</v>
      </c>
      <c r="I144" s="14" t="s">
        <v>65</v>
      </c>
      <c r="J144" s="14" t="s">
        <v>58</v>
      </c>
      <c r="K144" s="14">
        <v>160</v>
      </c>
      <c r="L144" s="14">
        <v>4</v>
      </c>
      <c r="M144" s="13">
        <v>57</v>
      </c>
      <c r="N144" s="20" t="s">
        <v>97</v>
      </c>
      <c r="O144" s="33" t="str">
        <f>VLOOKUP(N144,Reference!A:B,2,)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5" spans="1:15">
      <c r="A145" s="9">
        <v>144</v>
      </c>
      <c r="B145" s="27" t="s">
        <v>91</v>
      </c>
      <c r="C145" s="13">
        <v>43</v>
      </c>
      <c r="D145" s="13">
        <v>17</v>
      </c>
      <c r="E145" s="13">
        <v>21</v>
      </c>
      <c r="F145" s="13">
        <v>0.83</v>
      </c>
      <c r="G145" s="14" t="s">
        <v>2</v>
      </c>
      <c r="H145" s="19" t="s">
        <v>34</v>
      </c>
      <c r="I145" s="14" t="s">
        <v>65</v>
      </c>
      <c r="J145" s="14" t="s">
        <v>58</v>
      </c>
      <c r="K145" s="14">
        <v>160</v>
      </c>
      <c r="L145" s="14">
        <v>2</v>
      </c>
      <c r="M145" s="13">
        <v>45</v>
      </c>
      <c r="N145" s="20" t="s">
        <v>97</v>
      </c>
      <c r="O145" s="33" t="str">
        <f>VLOOKUP(N145,Reference!A:B,2,)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6" spans="1:15">
      <c r="A146" s="9">
        <v>145</v>
      </c>
      <c r="B146" s="27" t="s">
        <v>91</v>
      </c>
      <c r="C146" s="13">
        <v>43</v>
      </c>
      <c r="D146" s="13">
        <v>17</v>
      </c>
      <c r="E146" s="13">
        <v>21</v>
      </c>
      <c r="F146" s="13">
        <v>0.83</v>
      </c>
      <c r="G146" s="14" t="s">
        <v>2</v>
      </c>
      <c r="H146" s="19" t="s">
        <v>34</v>
      </c>
      <c r="I146" s="14" t="s">
        <v>65</v>
      </c>
      <c r="J146" s="14" t="s">
        <v>58</v>
      </c>
      <c r="K146" s="14">
        <v>160</v>
      </c>
      <c r="L146" s="14">
        <v>6</v>
      </c>
      <c r="M146" s="13">
        <v>64.98</v>
      </c>
      <c r="N146" s="20" t="s">
        <v>97</v>
      </c>
      <c r="O146" s="33" t="str">
        <f>VLOOKUP(N146,Reference!A:B,2,)</f>
        <v>Fu, C.; Wang, S.; Song, G. Efficient fractionation of corn stover using deep eutectic solvent from lignin-derived 3-phenylpropionic acid: Towards a closed-loop biorefinery. Industrial Crops and Products 2024, 212, 118380. DOI: https://doi.org/10.1016/j.indcrop.2024.118380.</v>
      </c>
    </row>
    <row r="147" spans="1:15">
      <c r="A147" s="9">
        <v>146</v>
      </c>
      <c r="B147" s="27" t="s">
        <v>91</v>
      </c>
      <c r="C147" s="13">
        <v>37.28</v>
      </c>
      <c r="D147" s="13">
        <v>21.26</v>
      </c>
      <c r="E147" s="13">
        <v>19.61</v>
      </c>
      <c r="F147" s="13">
        <v>0.38</v>
      </c>
      <c r="G147" s="14" t="s">
        <v>2</v>
      </c>
      <c r="H147" s="14" t="s">
        <v>9</v>
      </c>
      <c r="I147" s="14" t="s">
        <v>65</v>
      </c>
      <c r="J147" s="14" t="s">
        <v>58</v>
      </c>
      <c r="K147" s="14">
        <v>150</v>
      </c>
      <c r="L147" s="14">
        <v>1</v>
      </c>
      <c r="M147" s="13">
        <v>66.75</v>
      </c>
      <c r="N147" s="20" t="s">
        <v>99</v>
      </c>
      <c r="O147" s="33" t="str">
        <f>VLOOKUP(N147,Reference!A:B,2,)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48" spans="1:15">
      <c r="A148" s="9">
        <v>147</v>
      </c>
      <c r="B148" s="27" t="s">
        <v>91</v>
      </c>
      <c r="C148" s="13">
        <v>37.28</v>
      </c>
      <c r="D148" s="13">
        <v>21.26</v>
      </c>
      <c r="E148" s="13">
        <v>19.61</v>
      </c>
      <c r="F148" s="13">
        <v>0.38</v>
      </c>
      <c r="G148" s="14" t="s">
        <v>2</v>
      </c>
      <c r="H148" s="14" t="s">
        <v>9</v>
      </c>
      <c r="I148" s="14" t="s">
        <v>65</v>
      </c>
      <c r="J148" s="14" t="s">
        <v>58</v>
      </c>
      <c r="K148" s="14">
        <v>150</v>
      </c>
      <c r="L148" s="14">
        <v>2</v>
      </c>
      <c r="M148" s="13">
        <v>44.6</v>
      </c>
      <c r="N148" s="20" t="s">
        <v>99</v>
      </c>
      <c r="O148" s="33" t="str">
        <f>VLOOKUP(N148,Reference!A:B,2,)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49" spans="1:15">
      <c r="A149" s="9">
        <v>148</v>
      </c>
      <c r="B149" s="27" t="s">
        <v>91</v>
      </c>
      <c r="C149" s="13">
        <v>37.28</v>
      </c>
      <c r="D149" s="13">
        <v>21.26</v>
      </c>
      <c r="E149" s="13">
        <v>19.61</v>
      </c>
      <c r="F149" s="13">
        <v>0.38</v>
      </c>
      <c r="G149" s="14" t="s">
        <v>2</v>
      </c>
      <c r="H149" s="14" t="s">
        <v>9</v>
      </c>
      <c r="I149" s="14" t="s">
        <v>65</v>
      </c>
      <c r="J149" s="14" t="s">
        <v>58</v>
      </c>
      <c r="K149" s="14">
        <v>150</v>
      </c>
      <c r="L149" s="14">
        <v>4</v>
      </c>
      <c r="M149" s="13">
        <v>20.29</v>
      </c>
      <c r="N149" s="20" t="s">
        <v>99</v>
      </c>
      <c r="O149" s="33" t="str">
        <f>VLOOKUP(N149,Reference!A:B,2,)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0" spans="1:15">
      <c r="A150" s="9">
        <v>149</v>
      </c>
      <c r="B150" s="27" t="s">
        <v>91</v>
      </c>
      <c r="C150" s="13">
        <v>37.28</v>
      </c>
      <c r="D150" s="13">
        <v>21.26</v>
      </c>
      <c r="E150" s="13">
        <v>19.61</v>
      </c>
      <c r="F150" s="13">
        <v>0.38</v>
      </c>
      <c r="G150" s="14" t="s">
        <v>2</v>
      </c>
      <c r="H150" s="14" t="s">
        <v>9</v>
      </c>
      <c r="I150" s="14" t="s">
        <v>65</v>
      </c>
      <c r="J150" s="14" t="s">
        <v>58</v>
      </c>
      <c r="K150" s="14">
        <v>150</v>
      </c>
      <c r="L150" s="14">
        <v>6</v>
      </c>
      <c r="M150" s="13">
        <v>22.37</v>
      </c>
      <c r="N150" s="20" t="s">
        <v>99</v>
      </c>
      <c r="O150" s="33" t="str">
        <f>VLOOKUP(N150,Reference!A:B,2,)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1" spans="1:15">
      <c r="A151" s="9">
        <v>150</v>
      </c>
      <c r="B151" s="27" t="s">
        <v>91</v>
      </c>
      <c r="C151" s="13">
        <v>37.28</v>
      </c>
      <c r="D151" s="13">
        <v>21.26</v>
      </c>
      <c r="E151" s="13">
        <v>19.61</v>
      </c>
      <c r="F151" s="13">
        <v>0.38</v>
      </c>
      <c r="G151" s="14" t="s">
        <v>2</v>
      </c>
      <c r="H151" s="14" t="s">
        <v>9</v>
      </c>
      <c r="I151" s="14" t="s">
        <v>65</v>
      </c>
      <c r="J151" s="14" t="s">
        <v>58</v>
      </c>
      <c r="K151" s="14">
        <v>150</v>
      </c>
      <c r="L151" s="14">
        <v>8</v>
      </c>
      <c r="M151" s="13">
        <v>28.25</v>
      </c>
      <c r="N151" s="20" t="s">
        <v>99</v>
      </c>
      <c r="O151" s="33" t="str">
        <f>VLOOKUP(N151,Reference!A:B,2,)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2" spans="1:15">
      <c r="A152" s="9">
        <v>151</v>
      </c>
      <c r="B152" s="27" t="s">
        <v>91</v>
      </c>
      <c r="C152" s="13">
        <v>37.28</v>
      </c>
      <c r="D152" s="13">
        <v>21.26</v>
      </c>
      <c r="E152" s="13">
        <v>19.61</v>
      </c>
      <c r="F152" s="13">
        <v>0.38</v>
      </c>
      <c r="G152" s="14" t="s">
        <v>2</v>
      </c>
      <c r="H152" s="14" t="s">
        <v>9</v>
      </c>
      <c r="I152" s="14" t="s">
        <v>65</v>
      </c>
      <c r="J152" s="14" t="s">
        <v>58</v>
      </c>
      <c r="K152" s="14">
        <v>150</v>
      </c>
      <c r="L152" s="14">
        <v>10</v>
      </c>
      <c r="M152" s="13">
        <v>13.43</v>
      </c>
      <c r="N152" s="20" t="s">
        <v>99</v>
      </c>
      <c r="O152" s="33" t="str">
        <f>VLOOKUP(N152,Reference!A:B,2,)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3" spans="1:15">
      <c r="A153" s="9">
        <v>152</v>
      </c>
      <c r="B153" s="27" t="s">
        <v>91</v>
      </c>
      <c r="C153" s="13">
        <v>37.28</v>
      </c>
      <c r="D153" s="13">
        <v>21.26</v>
      </c>
      <c r="E153" s="13">
        <v>19.61</v>
      </c>
      <c r="F153" s="13">
        <v>0.38</v>
      </c>
      <c r="G153" s="14" t="s">
        <v>2</v>
      </c>
      <c r="H153" s="14" t="s">
        <v>9</v>
      </c>
      <c r="I153" s="14" t="s">
        <v>65</v>
      </c>
      <c r="J153" s="14" t="s">
        <v>58</v>
      </c>
      <c r="K153" s="14">
        <v>90</v>
      </c>
      <c r="L153" s="14">
        <v>4</v>
      </c>
      <c r="M153" s="13">
        <v>19.8</v>
      </c>
      <c r="N153" s="20" t="s">
        <v>99</v>
      </c>
      <c r="O153" s="33" t="str">
        <f>VLOOKUP(N153,Reference!A:B,2,)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4" spans="1:15">
      <c r="A154" s="9">
        <v>153</v>
      </c>
      <c r="B154" s="27" t="s">
        <v>91</v>
      </c>
      <c r="C154" s="13">
        <v>37.28</v>
      </c>
      <c r="D154" s="13">
        <v>21.26</v>
      </c>
      <c r="E154" s="13">
        <v>19.61</v>
      </c>
      <c r="F154" s="13">
        <v>0.38</v>
      </c>
      <c r="G154" s="14" t="s">
        <v>2</v>
      </c>
      <c r="H154" s="14" t="s">
        <v>9</v>
      </c>
      <c r="I154" s="14" t="s">
        <v>65</v>
      </c>
      <c r="J154" s="14" t="s">
        <v>58</v>
      </c>
      <c r="K154" s="14">
        <v>100</v>
      </c>
      <c r="L154" s="14">
        <v>4</v>
      </c>
      <c r="M154" s="13">
        <v>23.5</v>
      </c>
      <c r="N154" s="20" t="s">
        <v>99</v>
      </c>
      <c r="O154" s="33" t="str">
        <f>VLOOKUP(N154,Reference!A:B,2,)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5" spans="1:15">
      <c r="A155" s="9">
        <v>154</v>
      </c>
      <c r="B155" s="27" t="s">
        <v>91</v>
      </c>
      <c r="C155" s="13">
        <v>37.28</v>
      </c>
      <c r="D155" s="13">
        <v>21.26</v>
      </c>
      <c r="E155" s="13">
        <v>19.61</v>
      </c>
      <c r="F155" s="13">
        <v>0.38</v>
      </c>
      <c r="G155" s="14" t="s">
        <v>2</v>
      </c>
      <c r="H155" s="14" t="s">
        <v>9</v>
      </c>
      <c r="I155" s="14" t="s">
        <v>65</v>
      </c>
      <c r="J155" s="14" t="s">
        <v>58</v>
      </c>
      <c r="K155" s="14">
        <v>110</v>
      </c>
      <c r="L155" s="14">
        <v>4</v>
      </c>
      <c r="M155" s="13">
        <v>38.380000000000003</v>
      </c>
      <c r="N155" s="20" t="s">
        <v>99</v>
      </c>
      <c r="O155" s="33" t="str">
        <f>VLOOKUP(N155,Reference!A:B,2,)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6" spans="1:15">
      <c r="A156" s="9">
        <v>155</v>
      </c>
      <c r="B156" s="27" t="s">
        <v>91</v>
      </c>
      <c r="C156" s="13">
        <v>37.28</v>
      </c>
      <c r="D156" s="13">
        <v>21.26</v>
      </c>
      <c r="E156" s="13">
        <v>19.61</v>
      </c>
      <c r="F156" s="13">
        <v>0.38</v>
      </c>
      <c r="G156" s="14" t="s">
        <v>2</v>
      </c>
      <c r="H156" s="14" t="s">
        <v>9</v>
      </c>
      <c r="I156" s="14" t="s">
        <v>65</v>
      </c>
      <c r="J156" s="14" t="s">
        <v>58</v>
      </c>
      <c r="K156" s="14">
        <v>120</v>
      </c>
      <c r="L156" s="14">
        <v>4</v>
      </c>
      <c r="M156" s="13">
        <v>53.54</v>
      </c>
      <c r="N156" s="20" t="s">
        <v>99</v>
      </c>
      <c r="O156" s="33" t="str">
        <f>VLOOKUP(N156,Reference!A:B,2,)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7" spans="1:15">
      <c r="A157" s="9">
        <v>156</v>
      </c>
      <c r="B157" s="27" t="s">
        <v>91</v>
      </c>
      <c r="C157" s="13">
        <v>37.28</v>
      </c>
      <c r="D157" s="13">
        <v>21.26</v>
      </c>
      <c r="E157" s="13">
        <v>19.61</v>
      </c>
      <c r="F157" s="13">
        <v>0.38</v>
      </c>
      <c r="G157" s="14" t="s">
        <v>2</v>
      </c>
      <c r="H157" s="14" t="s">
        <v>9</v>
      </c>
      <c r="I157" s="14" t="s">
        <v>65</v>
      </c>
      <c r="J157" s="14" t="s">
        <v>58</v>
      </c>
      <c r="K157" s="14">
        <v>130</v>
      </c>
      <c r="L157" s="14">
        <v>4</v>
      </c>
      <c r="M157" s="13">
        <v>60.04</v>
      </c>
      <c r="N157" s="20" t="s">
        <v>99</v>
      </c>
      <c r="O157" s="33" t="str">
        <f>VLOOKUP(N157,Reference!A:B,2,)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8" spans="1:15">
      <c r="A158" s="9">
        <v>157</v>
      </c>
      <c r="B158" s="27" t="s">
        <v>91</v>
      </c>
      <c r="C158" s="13">
        <v>37.28</v>
      </c>
      <c r="D158" s="13">
        <v>21.26</v>
      </c>
      <c r="E158" s="13">
        <v>19.61</v>
      </c>
      <c r="F158" s="13">
        <v>0.38</v>
      </c>
      <c r="G158" s="14" t="s">
        <v>2</v>
      </c>
      <c r="H158" s="14" t="s">
        <v>9</v>
      </c>
      <c r="I158" s="14" t="s">
        <v>65</v>
      </c>
      <c r="J158" s="14" t="s">
        <v>58</v>
      </c>
      <c r="K158" s="14">
        <v>140</v>
      </c>
      <c r="L158" s="14">
        <v>4</v>
      </c>
      <c r="M158" s="13">
        <v>34.130000000000003</v>
      </c>
      <c r="N158" s="20" t="s">
        <v>99</v>
      </c>
      <c r="O158" s="33" t="str">
        <f>VLOOKUP(N158,Reference!A:B,2,)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59" spans="1:15">
      <c r="A159" s="9">
        <v>158</v>
      </c>
      <c r="B159" s="27" t="s">
        <v>91</v>
      </c>
      <c r="C159" s="13">
        <v>37.28</v>
      </c>
      <c r="D159" s="13">
        <v>21.26</v>
      </c>
      <c r="E159" s="13">
        <v>19.61</v>
      </c>
      <c r="F159" s="13">
        <v>0.38</v>
      </c>
      <c r="G159" s="14" t="s">
        <v>2</v>
      </c>
      <c r="H159" s="14" t="s">
        <v>9</v>
      </c>
      <c r="I159" s="14" t="s">
        <v>65</v>
      </c>
      <c r="J159" s="14" t="s">
        <v>58</v>
      </c>
      <c r="K159" s="14">
        <v>150</v>
      </c>
      <c r="L159" s="14">
        <v>4</v>
      </c>
      <c r="M159" s="13">
        <v>22.52</v>
      </c>
      <c r="N159" s="20" t="s">
        <v>99</v>
      </c>
      <c r="O159" s="33" t="str">
        <f>VLOOKUP(N159,Reference!A:B,2,)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60" spans="1:15">
      <c r="A160" s="9">
        <v>159</v>
      </c>
      <c r="B160" s="27" t="s">
        <v>91</v>
      </c>
      <c r="C160" s="13">
        <v>37.28</v>
      </c>
      <c r="D160" s="13">
        <v>21.26</v>
      </c>
      <c r="E160" s="13">
        <v>19.61</v>
      </c>
      <c r="F160" s="13">
        <v>0.38</v>
      </c>
      <c r="G160" s="14" t="s">
        <v>2</v>
      </c>
      <c r="H160" s="14" t="s">
        <v>9</v>
      </c>
      <c r="I160" s="14" t="s">
        <v>65</v>
      </c>
      <c r="J160" s="14" t="s">
        <v>58</v>
      </c>
      <c r="K160" s="14">
        <v>150</v>
      </c>
      <c r="L160" s="14">
        <v>8</v>
      </c>
      <c r="M160" s="13">
        <v>33.42</v>
      </c>
      <c r="N160" s="20" t="s">
        <v>99</v>
      </c>
      <c r="O160" s="33" t="str">
        <f>VLOOKUP(N160,Reference!A:B,2,)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61" spans="1:15">
      <c r="A161" s="9">
        <v>160</v>
      </c>
      <c r="B161" s="27" t="s">
        <v>91</v>
      </c>
      <c r="C161" s="13">
        <v>37.28</v>
      </c>
      <c r="D161" s="13">
        <v>21.26</v>
      </c>
      <c r="E161" s="13">
        <v>19.61</v>
      </c>
      <c r="F161" s="13">
        <v>0.38</v>
      </c>
      <c r="G161" s="14" t="s">
        <v>2</v>
      </c>
      <c r="H161" s="14" t="s">
        <v>9</v>
      </c>
      <c r="I161" s="14" t="s">
        <v>65</v>
      </c>
      <c r="J161" s="14" t="s">
        <v>58</v>
      </c>
      <c r="K161" s="14">
        <v>140</v>
      </c>
      <c r="L161" s="14">
        <v>4</v>
      </c>
      <c r="M161" s="13">
        <v>29.05</v>
      </c>
      <c r="N161" s="20" t="s">
        <v>99</v>
      </c>
      <c r="O161" s="33" t="str">
        <f>VLOOKUP(N161,Reference!A:B,2,)</f>
        <v>Ao, T.-J.; Li, K.; Mehmood, M. A.; Zhao, X.-Q.; Bai, F.-W.; Boopathy, R.; Liu, C.-G. Process optimization for acidic deep eutectic solvent pretreatment of corn stover to enhance enzymatic saccharification. Biomass Conversion and Biorefinery 2024, 14 (5), 6215-6228. DOI: 10.1007/s13399-022-02738-0.</v>
      </c>
    </row>
    <row r="162" spans="1:15">
      <c r="A162" s="9">
        <v>161</v>
      </c>
      <c r="B162" s="27" t="s">
        <v>104</v>
      </c>
      <c r="C162" s="13">
        <v>31.5</v>
      </c>
      <c r="D162" s="13">
        <v>25.2</v>
      </c>
      <c r="E162" s="13">
        <v>16.899999999999999</v>
      </c>
      <c r="F162" s="13">
        <v>7.6</v>
      </c>
      <c r="G162" s="14" t="s">
        <v>2</v>
      </c>
      <c r="H162" s="14" t="s">
        <v>8</v>
      </c>
      <c r="I162" s="18" t="s">
        <v>59</v>
      </c>
      <c r="J162" s="18" t="s">
        <v>105</v>
      </c>
      <c r="K162" s="21">
        <v>80</v>
      </c>
      <c r="L162" s="14">
        <v>15</v>
      </c>
      <c r="M162" s="13">
        <v>20.532544378698201</v>
      </c>
      <c r="N162" s="20" t="s">
        <v>100</v>
      </c>
      <c r="O162" s="33" t="str">
        <f>VLOOKUP(N162,Reference!A:B,2,)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3" spans="1:15">
      <c r="A163" s="9">
        <v>162</v>
      </c>
      <c r="B163" s="27" t="s">
        <v>104</v>
      </c>
      <c r="C163" s="13">
        <v>31.5</v>
      </c>
      <c r="D163" s="13">
        <v>25.2</v>
      </c>
      <c r="E163" s="13">
        <v>16.899999999999999</v>
      </c>
      <c r="F163" s="13">
        <v>7.6</v>
      </c>
      <c r="G163" s="14" t="s">
        <v>2</v>
      </c>
      <c r="H163" s="14" t="s">
        <v>8</v>
      </c>
      <c r="I163" s="18" t="s">
        <v>59</v>
      </c>
      <c r="J163" s="18" t="s">
        <v>105</v>
      </c>
      <c r="K163" s="21">
        <v>115</v>
      </c>
      <c r="L163" s="14">
        <v>15</v>
      </c>
      <c r="M163" s="13">
        <v>26.2485207100592</v>
      </c>
      <c r="N163" s="20" t="s">
        <v>100</v>
      </c>
      <c r="O163" s="33" t="str">
        <f>VLOOKUP(N163,Reference!A:B,2,)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4" spans="1:15">
      <c r="A164" s="9">
        <v>163</v>
      </c>
      <c r="B164" s="27" t="s">
        <v>104</v>
      </c>
      <c r="C164" s="13">
        <v>31.5</v>
      </c>
      <c r="D164" s="13">
        <v>25.2</v>
      </c>
      <c r="E164" s="13">
        <v>16.899999999999999</v>
      </c>
      <c r="F164" s="13">
        <v>7.6</v>
      </c>
      <c r="G164" s="14" t="s">
        <v>2</v>
      </c>
      <c r="H164" s="14" t="s">
        <v>8</v>
      </c>
      <c r="I164" s="18" t="s">
        <v>59</v>
      </c>
      <c r="J164" s="18" t="s">
        <v>105</v>
      </c>
      <c r="K164" s="21">
        <v>150</v>
      </c>
      <c r="L164" s="14">
        <v>15</v>
      </c>
      <c r="M164" s="13">
        <v>58.9940828402367</v>
      </c>
      <c r="N164" s="20" t="s">
        <v>100</v>
      </c>
      <c r="O164" s="33" t="str">
        <f>VLOOKUP(N164,Reference!A:B,2,)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5" spans="1:15">
      <c r="A165" s="9">
        <v>164</v>
      </c>
      <c r="B165" s="27" t="s">
        <v>104</v>
      </c>
      <c r="C165" s="13">
        <v>31.5</v>
      </c>
      <c r="D165" s="13">
        <v>25.2</v>
      </c>
      <c r="E165" s="13">
        <v>16.899999999999999</v>
      </c>
      <c r="F165" s="13">
        <v>7.6</v>
      </c>
      <c r="G165" s="14" t="s">
        <v>2</v>
      </c>
      <c r="H165" s="14" t="s">
        <v>7</v>
      </c>
      <c r="I165" s="18" t="s">
        <v>59</v>
      </c>
      <c r="J165" s="18" t="s">
        <v>105</v>
      </c>
      <c r="K165" s="21">
        <v>80</v>
      </c>
      <c r="L165" s="14">
        <v>15</v>
      </c>
      <c r="M165" s="13">
        <v>27.1479289940828</v>
      </c>
      <c r="N165" s="20" t="s">
        <v>100</v>
      </c>
      <c r="O165" s="33" t="str">
        <f>VLOOKUP(N165,Reference!A:B,2,)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6" spans="1:15">
      <c r="A166" s="9">
        <v>165</v>
      </c>
      <c r="B166" s="27" t="s">
        <v>104</v>
      </c>
      <c r="C166" s="13">
        <v>31.5</v>
      </c>
      <c r="D166" s="13">
        <v>25.2</v>
      </c>
      <c r="E166" s="13">
        <v>16.899999999999999</v>
      </c>
      <c r="F166" s="13">
        <v>7.6</v>
      </c>
      <c r="G166" s="14" t="s">
        <v>2</v>
      </c>
      <c r="H166" s="14" t="s">
        <v>7</v>
      </c>
      <c r="I166" s="18" t="s">
        <v>59</v>
      </c>
      <c r="J166" s="18" t="s">
        <v>105</v>
      </c>
      <c r="K166" s="21">
        <v>115</v>
      </c>
      <c r="L166" s="14">
        <v>15</v>
      </c>
      <c r="M166" s="13">
        <v>37.514792899408299</v>
      </c>
      <c r="N166" s="20" t="s">
        <v>100</v>
      </c>
      <c r="O166" s="33" t="str">
        <f>VLOOKUP(N166,Reference!A:B,2,)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7" spans="1:15">
      <c r="A167" s="9">
        <v>166</v>
      </c>
      <c r="B167" s="27" t="s">
        <v>104</v>
      </c>
      <c r="C167" s="13">
        <v>31.5</v>
      </c>
      <c r="D167" s="13">
        <v>25.2</v>
      </c>
      <c r="E167" s="13">
        <v>16.899999999999999</v>
      </c>
      <c r="F167" s="13">
        <v>7.6</v>
      </c>
      <c r="G167" s="14" t="s">
        <v>2</v>
      </c>
      <c r="H167" s="14" t="s">
        <v>33</v>
      </c>
      <c r="I167" s="18" t="s">
        <v>96</v>
      </c>
      <c r="J167" s="18" t="s">
        <v>105</v>
      </c>
      <c r="K167" s="21">
        <v>80</v>
      </c>
      <c r="L167" s="14">
        <v>15</v>
      </c>
      <c r="M167" s="13">
        <v>50.615384615384599</v>
      </c>
      <c r="N167" s="20" t="s">
        <v>100</v>
      </c>
      <c r="O167" s="33" t="str">
        <f>VLOOKUP(N167,Reference!A:B,2,)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8" spans="1:15">
      <c r="A168" s="9">
        <v>167</v>
      </c>
      <c r="B168" s="27" t="s">
        <v>104</v>
      </c>
      <c r="C168" s="13">
        <v>31.5</v>
      </c>
      <c r="D168" s="13">
        <v>25.2</v>
      </c>
      <c r="E168" s="13">
        <v>16.899999999999999</v>
      </c>
      <c r="F168" s="13">
        <v>7.6</v>
      </c>
      <c r="G168" s="14" t="s">
        <v>2</v>
      </c>
      <c r="H168" s="14" t="s">
        <v>33</v>
      </c>
      <c r="I168" s="18" t="s">
        <v>96</v>
      </c>
      <c r="J168" s="18" t="s">
        <v>105</v>
      </c>
      <c r="K168" s="21">
        <v>115</v>
      </c>
      <c r="L168" s="14">
        <v>15</v>
      </c>
      <c r="M168" s="13">
        <v>76.662721893491096</v>
      </c>
      <c r="N168" s="20" t="s">
        <v>100</v>
      </c>
      <c r="O168" s="33" t="str">
        <f>VLOOKUP(N168,Reference!A:B,2,)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69" spans="1:15">
      <c r="A169" s="9">
        <v>168</v>
      </c>
      <c r="B169" s="27" t="s">
        <v>104</v>
      </c>
      <c r="C169" s="14">
        <v>31.5</v>
      </c>
      <c r="D169" s="14">
        <v>25.2</v>
      </c>
      <c r="E169" s="14">
        <v>16.899999999999999</v>
      </c>
      <c r="F169" s="13">
        <v>7.6</v>
      </c>
      <c r="G169" s="14" t="s">
        <v>2</v>
      </c>
      <c r="H169" s="14" t="s">
        <v>33</v>
      </c>
      <c r="I169" s="14" t="s">
        <v>96</v>
      </c>
      <c r="J169" s="18" t="s">
        <v>105</v>
      </c>
      <c r="K169" s="18">
        <v>150</v>
      </c>
      <c r="L169" s="14">
        <v>15</v>
      </c>
      <c r="M169" s="13">
        <v>84.899408284023707</v>
      </c>
      <c r="N169" s="20" t="s">
        <v>100</v>
      </c>
      <c r="O169" s="33" t="str">
        <f>VLOOKUP(N169,Reference!A:B,2,)</f>
        <v>Procentese, A.; Johnson, E.; Orr, V.; Garruto Campanile, A.; Wood, J. A.; Marzocchella, A.; Rehmann, L. Deep eutectic solvent pretreatment and subsequent saccharification of corncob. Bioresource Technology 2015, 192, 31-36. DOI: https://doi.org/10.1016/j.biortech.2015.05.053.</v>
      </c>
    </row>
    <row r="170" spans="1:15">
      <c r="A170" s="9">
        <v>169</v>
      </c>
      <c r="B170" s="27" t="s">
        <v>104</v>
      </c>
      <c r="C170" s="13">
        <v>39.19</v>
      </c>
      <c r="D170" s="13">
        <v>36.89</v>
      </c>
      <c r="E170" s="13">
        <v>16.489999999999998</v>
      </c>
      <c r="F170" s="13">
        <v>0.83</v>
      </c>
      <c r="G170" s="14" t="s">
        <v>2</v>
      </c>
      <c r="H170" s="14" t="s">
        <v>9</v>
      </c>
      <c r="I170" s="14" t="s">
        <v>59</v>
      </c>
      <c r="J170" s="18" t="s">
        <v>55</v>
      </c>
      <c r="K170" s="14">
        <v>90</v>
      </c>
      <c r="L170" s="14">
        <v>24</v>
      </c>
      <c r="M170" s="13">
        <v>64.7</v>
      </c>
      <c r="N170" s="20" t="s">
        <v>101</v>
      </c>
      <c r="O170" s="33" t="str">
        <f>VLOOKUP(N170,Reference!A:B,2,)</f>
        <v>Zhang, C.-W.; Xia, S.-Q.; Ma, P.-S. Facile pretreatment of lignocellulosic biomass using deep eutectic solvents. Bioresource Technology 2016, 219, 1-5. DOI: https://doi.org/10.1016/j.biortech.2016.07.026.</v>
      </c>
    </row>
    <row r="171" spans="1:15">
      <c r="A171" s="9">
        <v>170</v>
      </c>
      <c r="B171" s="27" t="s">
        <v>104</v>
      </c>
      <c r="C171" s="13">
        <v>39.19</v>
      </c>
      <c r="D171" s="13">
        <v>36.89</v>
      </c>
      <c r="E171" s="13">
        <v>16.489999999999998</v>
      </c>
      <c r="F171" s="13">
        <v>0.83</v>
      </c>
      <c r="G171" s="14" t="s">
        <v>2</v>
      </c>
      <c r="H171" s="14" t="s">
        <v>9</v>
      </c>
      <c r="I171" s="18" t="s">
        <v>64</v>
      </c>
      <c r="J171" s="18" t="s">
        <v>55</v>
      </c>
      <c r="K171" s="14">
        <v>90</v>
      </c>
      <c r="L171" s="14">
        <v>24</v>
      </c>
      <c r="M171" s="13">
        <v>77.900000000000006</v>
      </c>
      <c r="N171" s="20" t="s">
        <v>101</v>
      </c>
      <c r="O171" s="33" t="str">
        <f>VLOOKUP(N171,Reference!A:B,2,)</f>
        <v>Zhang, C.-W.; Xia, S.-Q.; Ma, P.-S. Facile pretreatment of lignocellulosic biomass using deep eutectic solvents. Bioresource Technology 2016, 219, 1-5. DOI: https://doi.org/10.1016/j.biortech.2016.07.026.</v>
      </c>
    </row>
    <row r="172" spans="1:15">
      <c r="A172" s="9">
        <v>171</v>
      </c>
      <c r="B172" s="27" t="s">
        <v>104</v>
      </c>
      <c r="C172" s="13">
        <v>39.19</v>
      </c>
      <c r="D172" s="13">
        <v>36.89</v>
      </c>
      <c r="E172" s="13">
        <v>16.489999999999998</v>
      </c>
      <c r="F172" s="13">
        <v>0.83</v>
      </c>
      <c r="G172" s="14" t="s">
        <v>2</v>
      </c>
      <c r="H172" s="14" t="s">
        <v>9</v>
      </c>
      <c r="I172" s="23">
        <v>4.8611111111111098E-2</v>
      </c>
      <c r="J172" s="18" t="s">
        <v>55</v>
      </c>
      <c r="K172" s="14">
        <v>90</v>
      </c>
      <c r="L172" s="14">
        <v>24</v>
      </c>
      <c r="M172" s="13">
        <v>86.1</v>
      </c>
      <c r="N172" s="20" t="s">
        <v>101</v>
      </c>
      <c r="O172" s="33" t="str">
        <f>VLOOKUP(N172,Reference!A:B,2,)</f>
        <v>Zhang, C.-W.; Xia, S.-Q.; Ma, P.-S. Facile pretreatment of lignocellulosic biomass using deep eutectic solvents. Bioresource Technology 2016, 219, 1-5. DOI: https://doi.org/10.1016/j.biortech.2016.07.026.</v>
      </c>
    </row>
    <row r="173" spans="1:15">
      <c r="A173" s="9">
        <v>172</v>
      </c>
      <c r="B173" s="27" t="s">
        <v>104</v>
      </c>
      <c r="C173" s="13">
        <v>39.19</v>
      </c>
      <c r="D173" s="13">
        <v>36.89</v>
      </c>
      <c r="E173" s="13">
        <v>16.489999999999998</v>
      </c>
      <c r="F173" s="13">
        <v>0.83</v>
      </c>
      <c r="G173" s="14" t="s">
        <v>2</v>
      </c>
      <c r="H173" s="14" t="s">
        <v>9</v>
      </c>
      <c r="I173" s="23">
        <v>5.2083333333333301E-2</v>
      </c>
      <c r="J173" s="18" t="s">
        <v>55</v>
      </c>
      <c r="K173" s="14">
        <v>90</v>
      </c>
      <c r="L173" s="14">
        <v>24</v>
      </c>
      <c r="M173" s="13">
        <v>93.1</v>
      </c>
      <c r="N173" s="20" t="s">
        <v>101</v>
      </c>
      <c r="O173" s="33" t="str">
        <f>VLOOKUP(N173,Reference!A:B,2,)</f>
        <v>Zhang, C.-W.; Xia, S.-Q.; Ma, P.-S. Facile pretreatment of lignocellulosic biomass using deep eutectic solvents. Bioresource Technology 2016, 219, 1-5. DOI: https://doi.org/10.1016/j.biortech.2016.07.026.</v>
      </c>
    </row>
    <row r="174" spans="1:15">
      <c r="A174" s="9">
        <v>173</v>
      </c>
      <c r="B174" s="27" t="s">
        <v>104</v>
      </c>
      <c r="C174" s="13">
        <v>39.19</v>
      </c>
      <c r="D174" s="13">
        <v>36.89</v>
      </c>
      <c r="E174" s="13">
        <v>16.489999999999998</v>
      </c>
      <c r="F174" s="13">
        <v>0.83</v>
      </c>
      <c r="G174" s="14" t="s">
        <v>2</v>
      </c>
      <c r="H174" s="14" t="s">
        <v>22</v>
      </c>
      <c r="I174" s="14" t="s">
        <v>59</v>
      </c>
      <c r="J174" s="18" t="s">
        <v>55</v>
      </c>
      <c r="K174" s="14">
        <v>90</v>
      </c>
      <c r="L174" s="14">
        <v>24</v>
      </c>
      <c r="M174" s="13">
        <v>56.4</v>
      </c>
      <c r="N174" s="20" t="s">
        <v>101</v>
      </c>
      <c r="O174" s="33" t="str">
        <f>VLOOKUP(N174,Reference!A:B,2,)</f>
        <v>Zhang, C.-W.; Xia, S.-Q.; Ma, P.-S. Facile pretreatment of lignocellulosic biomass using deep eutectic solvents. Bioresource Technology 2016, 219, 1-5. DOI: https://doi.org/10.1016/j.biortech.2016.07.026.</v>
      </c>
    </row>
    <row r="175" spans="1:15">
      <c r="A175" s="9">
        <v>174</v>
      </c>
      <c r="B175" s="27" t="s">
        <v>104</v>
      </c>
      <c r="C175" s="13">
        <v>39.19</v>
      </c>
      <c r="D175" s="13">
        <v>36.89</v>
      </c>
      <c r="E175" s="13">
        <v>16.489999999999998</v>
      </c>
      <c r="F175" s="13">
        <v>0.83</v>
      </c>
      <c r="G175" s="14" t="s">
        <v>2</v>
      </c>
      <c r="H175" s="14" t="s">
        <v>36</v>
      </c>
      <c r="I175" s="14" t="s">
        <v>59</v>
      </c>
      <c r="J175" s="18" t="s">
        <v>55</v>
      </c>
      <c r="K175" s="14">
        <v>90</v>
      </c>
      <c r="L175" s="14">
        <v>24</v>
      </c>
      <c r="M175" s="13">
        <v>43</v>
      </c>
      <c r="N175" s="20" t="s">
        <v>101</v>
      </c>
      <c r="O175" s="33" t="str">
        <f>VLOOKUP(N175,Reference!A:B,2,)</f>
        <v>Zhang, C.-W.; Xia, S.-Q.; Ma, P.-S. Facile pretreatment of lignocellulosic biomass using deep eutectic solvents. Bioresource Technology 2016, 219, 1-5. DOI: https://doi.org/10.1016/j.biortech.2016.07.026.</v>
      </c>
    </row>
    <row r="176" spans="1:15">
      <c r="A176" s="9">
        <v>175</v>
      </c>
      <c r="B176" s="27" t="s">
        <v>104</v>
      </c>
      <c r="C176" s="13">
        <v>39.19</v>
      </c>
      <c r="D176" s="13">
        <v>36.89</v>
      </c>
      <c r="E176" s="13">
        <v>16.489999999999998</v>
      </c>
      <c r="F176" s="13">
        <v>0.83</v>
      </c>
      <c r="G176" s="14" t="s">
        <v>2</v>
      </c>
      <c r="H176" s="14" t="s">
        <v>14</v>
      </c>
      <c r="I176" s="14" t="s">
        <v>65</v>
      </c>
      <c r="J176" s="18" t="s">
        <v>55</v>
      </c>
      <c r="K176" s="14">
        <v>90</v>
      </c>
      <c r="L176" s="14">
        <v>24</v>
      </c>
      <c r="M176" s="13">
        <v>56.5</v>
      </c>
      <c r="N176" s="20" t="s">
        <v>101</v>
      </c>
      <c r="O176" s="33" t="str">
        <f>VLOOKUP(N176,Reference!A:B,2,)</f>
        <v>Zhang, C.-W.; Xia, S.-Q.; Ma, P.-S. Facile pretreatment of lignocellulosic biomass using deep eutectic solvents. Bioresource Technology 2016, 219, 1-5. DOI: https://doi.org/10.1016/j.biortech.2016.07.026.</v>
      </c>
    </row>
    <row r="177" spans="1:15">
      <c r="A177" s="9">
        <v>176</v>
      </c>
      <c r="B177" s="27" t="s">
        <v>104</v>
      </c>
      <c r="C177" s="13">
        <v>39.19</v>
      </c>
      <c r="D177" s="13">
        <v>36.89</v>
      </c>
      <c r="E177" s="13">
        <v>16.489999999999998</v>
      </c>
      <c r="F177" s="13">
        <v>0.83</v>
      </c>
      <c r="G177" s="14" t="s">
        <v>2</v>
      </c>
      <c r="H177" s="14" t="s">
        <v>37</v>
      </c>
      <c r="I177" s="14" t="s">
        <v>65</v>
      </c>
      <c r="J177" s="18" t="s">
        <v>55</v>
      </c>
      <c r="K177" s="14">
        <v>90</v>
      </c>
      <c r="L177" s="14">
        <v>24</v>
      </c>
      <c r="M177" s="13">
        <v>34.299999999999997</v>
      </c>
      <c r="N177" s="20" t="s">
        <v>101</v>
      </c>
      <c r="O177" s="33" t="str">
        <f>VLOOKUP(N177,Reference!A:B,2,)</f>
        <v>Zhang, C.-W.; Xia, S.-Q.; Ma, P.-S. Facile pretreatment of lignocellulosic biomass using deep eutectic solvents. Bioresource Technology 2016, 219, 1-5. DOI: https://doi.org/10.1016/j.biortech.2016.07.026.</v>
      </c>
    </row>
    <row r="178" spans="1:15">
      <c r="A178" s="9">
        <v>177</v>
      </c>
      <c r="B178" s="27" t="s">
        <v>104</v>
      </c>
      <c r="C178" s="13">
        <v>39.19</v>
      </c>
      <c r="D178" s="13">
        <v>36.89</v>
      </c>
      <c r="E178" s="13">
        <v>16.489999999999998</v>
      </c>
      <c r="F178" s="13">
        <v>0.83</v>
      </c>
      <c r="G178" s="14" t="s">
        <v>2</v>
      </c>
      <c r="H178" s="14" t="s">
        <v>15</v>
      </c>
      <c r="I178" s="14" t="s">
        <v>65</v>
      </c>
      <c r="J178" s="18" t="s">
        <v>55</v>
      </c>
      <c r="K178" s="14">
        <v>90</v>
      </c>
      <c r="L178" s="14">
        <v>24</v>
      </c>
      <c r="M178" s="13">
        <v>22.4</v>
      </c>
      <c r="N178" s="20" t="s">
        <v>101</v>
      </c>
      <c r="O178" s="33" t="str">
        <f>VLOOKUP(N178,Reference!A:B,2,)</f>
        <v>Zhang, C.-W.; Xia, S.-Q.; Ma, P.-S. Facile pretreatment of lignocellulosic biomass using deep eutectic solvents. Bioresource Technology 2016, 219, 1-5. DOI: https://doi.org/10.1016/j.biortech.2016.07.026.</v>
      </c>
    </row>
    <row r="179" spans="1:15">
      <c r="A179" s="9">
        <v>178</v>
      </c>
      <c r="B179" s="27" t="s">
        <v>104</v>
      </c>
      <c r="C179" s="13">
        <v>39.19</v>
      </c>
      <c r="D179" s="13">
        <v>36.89</v>
      </c>
      <c r="E179" s="13">
        <v>16.489999999999998</v>
      </c>
      <c r="F179" s="13">
        <v>0.83</v>
      </c>
      <c r="G179" s="14" t="s">
        <v>2</v>
      </c>
      <c r="H179" s="14" t="s">
        <v>9</v>
      </c>
      <c r="I179" s="14" t="s">
        <v>59</v>
      </c>
      <c r="J179" s="18" t="s">
        <v>55</v>
      </c>
      <c r="K179" s="14">
        <v>70</v>
      </c>
      <c r="L179" s="14">
        <v>24</v>
      </c>
      <c r="M179" s="13">
        <v>18.100000000000001</v>
      </c>
      <c r="N179" s="20" t="s">
        <v>101</v>
      </c>
      <c r="O179" s="33" t="str">
        <f>VLOOKUP(N179,Reference!A:B,2,)</f>
        <v>Zhang, C.-W.; Xia, S.-Q.; Ma, P.-S. Facile pretreatment of lignocellulosic biomass using deep eutectic solvents. Bioresource Technology 2016, 219, 1-5. DOI: https://doi.org/10.1016/j.biortech.2016.07.026.</v>
      </c>
    </row>
    <row r="180" spans="1:15">
      <c r="A180" s="9">
        <v>179</v>
      </c>
      <c r="B180" s="27" t="s">
        <v>104</v>
      </c>
      <c r="C180" s="13">
        <v>39.19</v>
      </c>
      <c r="D180" s="13">
        <v>36.89</v>
      </c>
      <c r="E180" s="13">
        <v>16.489999999999998</v>
      </c>
      <c r="F180" s="13">
        <v>0.83</v>
      </c>
      <c r="G180" s="14" t="s">
        <v>2</v>
      </c>
      <c r="H180" s="14" t="s">
        <v>9</v>
      </c>
      <c r="I180" s="14" t="s">
        <v>59</v>
      </c>
      <c r="J180" s="18" t="s">
        <v>55</v>
      </c>
      <c r="K180" s="14">
        <v>80</v>
      </c>
      <c r="L180" s="14">
        <v>24</v>
      </c>
      <c r="M180" s="13">
        <v>31.1</v>
      </c>
      <c r="N180" s="20" t="s">
        <v>101</v>
      </c>
      <c r="O180" s="33" t="str">
        <f>VLOOKUP(N180,Reference!A:B,2,)</f>
        <v>Zhang, C.-W.; Xia, S.-Q.; Ma, P.-S. Facile pretreatment of lignocellulosic biomass using deep eutectic solvents. Bioresource Technology 2016, 219, 1-5. DOI: https://doi.org/10.1016/j.biortech.2016.07.026.</v>
      </c>
    </row>
    <row r="181" spans="1:15">
      <c r="A181" s="9">
        <v>180</v>
      </c>
      <c r="B181" s="27" t="s">
        <v>104</v>
      </c>
      <c r="C181" s="13">
        <v>39.19</v>
      </c>
      <c r="D181" s="13">
        <v>36.89</v>
      </c>
      <c r="E181" s="13">
        <v>16.489999999999998</v>
      </c>
      <c r="F181" s="13">
        <v>0.83</v>
      </c>
      <c r="G181" s="14" t="s">
        <v>2</v>
      </c>
      <c r="H181" s="14" t="s">
        <v>9</v>
      </c>
      <c r="I181" s="14" t="s">
        <v>59</v>
      </c>
      <c r="J181" s="18" t="s">
        <v>55</v>
      </c>
      <c r="K181" s="14">
        <v>90</v>
      </c>
      <c r="L181" s="14">
        <v>24</v>
      </c>
      <c r="M181" s="13">
        <v>42.7</v>
      </c>
      <c r="N181" s="20" t="s">
        <v>101</v>
      </c>
      <c r="O181" s="33" t="str">
        <f>VLOOKUP(N181,Reference!A:B,2,)</f>
        <v>Zhang, C.-W.; Xia, S.-Q.; Ma, P.-S. Facile pretreatment of lignocellulosic biomass using deep eutectic solvents. Bioresource Technology 2016, 219, 1-5. DOI: https://doi.org/10.1016/j.biortech.2016.07.026.</v>
      </c>
    </row>
    <row r="182" spans="1:15">
      <c r="A182" s="9">
        <v>181</v>
      </c>
      <c r="B182" s="27" t="s">
        <v>104</v>
      </c>
      <c r="C182" s="13">
        <v>39.19</v>
      </c>
      <c r="D182" s="13">
        <v>36.89</v>
      </c>
      <c r="E182" s="13">
        <v>16.489999999999998</v>
      </c>
      <c r="F182" s="13">
        <v>0.83</v>
      </c>
      <c r="G182" s="14" t="s">
        <v>2</v>
      </c>
      <c r="H182" s="14" t="s">
        <v>9</v>
      </c>
      <c r="I182" s="14" t="s">
        <v>59</v>
      </c>
      <c r="J182" s="18" t="s">
        <v>55</v>
      </c>
      <c r="K182" s="14">
        <v>100</v>
      </c>
      <c r="L182" s="14">
        <v>24</v>
      </c>
      <c r="M182" s="13">
        <v>65.8</v>
      </c>
      <c r="N182" s="20" t="s">
        <v>101</v>
      </c>
      <c r="O182" s="33" t="str">
        <f>VLOOKUP(N182,Reference!A:B,2,)</f>
        <v>Zhang, C.-W.; Xia, S.-Q.; Ma, P.-S. Facile pretreatment of lignocellulosic biomass using deep eutectic solvents. Bioresource Technology 2016, 219, 1-5. DOI: https://doi.org/10.1016/j.biortech.2016.07.026.</v>
      </c>
    </row>
    <row r="183" spans="1:15">
      <c r="A183" s="9">
        <v>182</v>
      </c>
      <c r="B183" s="27" t="s">
        <v>104</v>
      </c>
      <c r="C183" s="13">
        <v>39.19</v>
      </c>
      <c r="D183" s="13">
        <v>36.89</v>
      </c>
      <c r="E183" s="13">
        <v>16.489999999999998</v>
      </c>
      <c r="F183" s="13">
        <v>0.83</v>
      </c>
      <c r="G183" s="14" t="s">
        <v>2</v>
      </c>
      <c r="H183" s="14" t="s">
        <v>9</v>
      </c>
      <c r="I183" s="14" t="s">
        <v>59</v>
      </c>
      <c r="J183" s="18" t="s">
        <v>55</v>
      </c>
      <c r="K183" s="14">
        <v>110</v>
      </c>
      <c r="L183" s="14">
        <v>24</v>
      </c>
      <c r="M183" s="13">
        <v>95.5</v>
      </c>
      <c r="N183" s="20" t="s">
        <v>101</v>
      </c>
      <c r="O183" s="33" t="str">
        <f>VLOOKUP(N183,Reference!A:B,2,)</f>
        <v>Zhang, C.-W.; Xia, S.-Q.; Ma, P.-S. Facile pretreatment of lignocellulosic biomass using deep eutectic solvents. Bioresource Technology 2016, 219, 1-5. DOI: https://doi.org/10.1016/j.biortech.2016.07.026.</v>
      </c>
    </row>
    <row r="184" spans="1:15">
      <c r="A184" s="9">
        <v>183</v>
      </c>
      <c r="B184" s="27" t="s">
        <v>104</v>
      </c>
      <c r="C184" s="13">
        <v>39.19</v>
      </c>
      <c r="D184" s="13">
        <v>36.89</v>
      </c>
      <c r="E184" s="13">
        <v>16.489999999999998</v>
      </c>
      <c r="F184" s="13">
        <v>0.83</v>
      </c>
      <c r="G184" s="14" t="s">
        <v>2</v>
      </c>
      <c r="H184" s="14" t="s">
        <v>9</v>
      </c>
      <c r="I184" s="14" t="s">
        <v>59</v>
      </c>
      <c r="J184" s="18" t="s">
        <v>55</v>
      </c>
      <c r="K184" s="14">
        <v>90</v>
      </c>
      <c r="L184" s="14">
        <v>1.5</v>
      </c>
      <c r="M184" s="13">
        <v>8.6</v>
      </c>
      <c r="N184" s="20" t="s">
        <v>101</v>
      </c>
      <c r="O184" s="33" t="str">
        <f>VLOOKUP(N184,Reference!A:B,2,)</f>
        <v>Zhang, C.-W.; Xia, S.-Q.; Ma, P.-S. Facile pretreatment of lignocellulosic biomass using deep eutectic solvents. Bioresource Technology 2016, 219, 1-5. DOI: https://doi.org/10.1016/j.biortech.2016.07.026.</v>
      </c>
    </row>
    <row r="185" spans="1:15">
      <c r="A185" s="9">
        <v>184</v>
      </c>
      <c r="B185" s="27" t="s">
        <v>104</v>
      </c>
      <c r="C185" s="13">
        <v>39.19</v>
      </c>
      <c r="D185" s="13">
        <v>36.89</v>
      </c>
      <c r="E185" s="13">
        <v>16.489999999999998</v>
      </c>
      <c r="F185" s="13">
        <v>0.83</v>
      </c>
      <c r="G185" s="14" t="s">
        <v>2</v>
      </c>
      <c r="H185" s="14" t="s">
        <v>9</v>
      </c>
      <c r="I185" s="14" t="s">
        <v>59</v>
      </c>
      <c r="J185" s="18" t="s">
        <v>55</v>
      </c>
      <c r="K185" s="14">
        <v>90</v>
      </c>
      <c r="L185" s="14">
        <v>3</v>
      </c>
      <c r="M185" s="13">
        <v>15.7</v>
      </c>
      <c r="N185" s="20" t="s">
        <v>101</v>
      </c>
      <c r="O185" s="33" t="str">
        <f>VLOOKUP(N185,Reference!A:B,2,)</f>
        <v>Zhang, C.-W.; Xia, S.-Q.; Ma, P.-S. Facile pretreatment of lignocellulosic biomass using deep eutectic solvents. Bioresource Technology 2016, 219, 1-5. DOI: https://doi.org/10.1016/j.biortech.2016.07.026.</v>
      </c>
    </row>
    <row r="186" spans="1:15">
      <c r="A186" s="9">
        <v>185</v>
      </c>
      <c r="B186" s="27" t="s">
        <v>104</v>
      </c>
      <c r="C186" s="13">
        <v>39.19</v>
      </c>
      <c r="D186" s="13">
        <v>36.89</v>
      </c>
      <c r="E186" s="13">
        <v>16.489999999999998</v>
      </c>
      <c r="F186" s="13">
        <v>0.83</v>
      </c>
      <c r="G186" s="14" t="s">
        <v>2</v>
      </c>
      <c r="H186" s="14" t="s">
        <v>9</v>
      </c>
      <c r="I186" s="14" t="s">
        <v>59</v>
      </c>
      <c r="J186" s="18" t="s">
        <v>55</v>
      </c>
      <c r="K186" s="14">
        <v>90</v>
      </c>
      <c r="L186" s="14">
        <v>6</v>
      </c>
      <c r="M186" s="13">
        <v>20.9</v>
      </c>
      <c r="N186" s="20" t="s">
        <v>101</v>
      </c>
      <c r="O186" s="33" t="str">
        <f>VLOOKUP(N186,Reference!A:B,2,)</f>
        <v>Zhang, C.-W.; Xia, S.-Q.; Ma, P.-S. Facile pretreatment of lignocellulosic biomass using deep eutectic solvents. Bioresource Technology 2016, 219, 1-5. DOI: https://doi.org/10.1016/j.biortech.2016.07.026.</v>
      </c>
    </row>
    <row r="187" spans="1:15">
      <c r="A187" s="9">
        <v>186</v>
      </c>
      <c r="B187" s="27" t="s">
        <v>104</v>
      </c>
      <c r="C187" s="13">
        <v>39.19</v>
      </c>
      <c r="D187" s="13">
        <v>36.89</v>
      </c>
      <c r="E187" s="13">
        <v>16.489999999999998</v>
      </c>
      <c r="F187" s="13">
        <v>0.83</v>
      </c>
      <c r="G187" s="14" t="s">
        <v>2</v>
      </c>
      <c r="H187" s="14" t="s">
        <v>9</v>
      </c>
      <c r="I187" s="14" t="s">
        <v>59</v>
      </c>
      <c r="J187" s="18" t="s">
        <v>55</v>
      </c>
      <c r="K187" s="14">
        <v>90</v>
      </c>
      <c r="L187" s="14">
        <v>12</v>
      </c>
      <c r="M187" s="13">
        <v>25.7</v>
      </c>
      <c r="N187" s="20" t="s">
        <v>101</v>
      </c>
      <c r="O187" s="33" t="str">
        <f>VLOOKUP(N187,Reference!A:B,2,)</f>
        <v>Zhang, C.-W.; Xia, S.-Q.; Ma, P.-S. Facile pretreatment of lignocellulosic biomass using deep eutectic solvents. Bioresource Technology 2016, 219, 1-5. DOI: https://doi.org/10.1016/j.biortech.2016.07.026.</v>
      </c>
    </row>
    <row r="188" spans="1:15">
      <c r="A188" s="9">
        <v>187</v>
      </c>
      <c r="B188" s="27" t="s">
        <v>104</v>
      </c>
      <c r="C188" s="13">
        <v>39.19</v>
      </c>
      <c r="D188" s="13">
        <v>36.89</v>
      </c>
      <c r="E188" s="13">
        <v>16.489999999999998</v>
      </c>
      <c r="F188" s="13">
        <v>0.83</v>
      </c>
      <c r="G188" s="14" t="s">
        <v>2</v>
      </c>
      <c r="H188" s="14" t="s">
        <v>9</v>
      </c>
      <c r="I188" s="14" t="s">
        <v>59</v>
      </c>
      <c r="J188" s="18" t="s">
        <v>55</v>
      </c>
      <c r="K188" s="14">
        <v>90</v>
      </c>
      <c r="L188" s="14">
        <v>36</v>
      </c>
      <c r="M188" s="13">
        <v>48.5</v>
      </c>
      <c r="N188" s="20" t="s">
        <v>101</v>
      </c>
      <c r="O188" s="33" t="str">
        <f>VLOOKUP(N188,Reference!A:B,2,)</f>
        <v>Zhang, C.-W.; Xia, S.-Q.; Ma, P.-S. Facile pretreatment of lignocellulosic biomass using deep eutectic solvents. Bioresource Technology 2016, 219, 1-5. DOI: https://doi.org/10.1016/j.biortech.2016.07.026.</v>
      </c>
    </row>
    <row r="189" spans="1:15">
      <c r="A189" s="9">
        <v>188</v>
      </c>
      <c r="B189" s="27" t="s">
        <v>110</v>
      </c>
      <c r="C189" s="14">
        <v>45.6</v>
      </c>
      <c r="D189" s="14">
        <v>16.2</v>
      </c>
      <c r="E189" s="14">
        <v>27.4</v>
      </c>
      <c r="F189" s="14">
        <v>0.38</v>
      </c>
      <c r="G189" s="14" t="s">
        <v>2</v>
      </c>
      <c r="H189" s="14" t="s">
        <v>16</v>
      </c>
      <c r="I189" s="14" t="s">
        <v>65</v>
      </c>
      <c r="J189" s="18" t="s">
        <v>58</v>
      </c>
      <c r="K189" s="18">
        <v>90</v>
      </c>
      <c r="L189" s="14">
        <v>0.5</v>
      </c>
      <c r="M189" s="14">
        <v>15</v>
      </c>
      <c r="N189" s="20" t="s">
        <v>102</v>
      </c>
      <c r="O189" s="33" t="str">
        <f>VLOOKUP(N189,Reference!A:B,2,)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0" spans="1:15">
      <c r="A190" s="9">
        <v>189</v>
      </c>
      <c r="B190" s="27" t="s">
        <v>110</v>
      </c>
      <c r="C190" s="14">
        <v>45.6</v>
      </c>
      <c r="D190" s="14">
        <v>16.2</v>
      </c>
      <c r="E190" s="14">
        <v>27.4</v>
      </c>
      <c r="F190" s="14">
        <v>0.38</v>
      </c>
      <c r="G190" s="14" t="s">
        <v>2</v>
      </c>
      <c r="H190" s="14" t="s">
        <v>16</v>
      </c>
      <c r="I190" s="14" t="s">
        <v>65</v>
      </c>
      <c r="J190" s="18" t="s">
        <v>58</v>
      </c>
      <c r="K190" s="18">
        <v>90</v>
      </c>
      <c r="L190" s="14">
        <v>1</v>
      </c>
      <c r="M190" s="14">
        <v>32.6</v>
      </c>
      <c r="N190" s="20" t="s">
        <v>102</v>
      </c>
      <c r="O190" s="33" t="str">
        <f>VLOOKUP(N190,Reference!A:B,2,)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1" spans="1:15">
      <c r="A191" s="9">
        <v>190</v>
      </c>
      <c r="B191" s="27" t="s">
        <v>110</v>
      </c>
      <c r="C191" s="14">
        <v>45.6</v>
      </c>
      <c r="D191" s="14">
        <v>16.2</v>
      </c>
      <c r="E191" s="14">
        <v>27.4</v>
      </c>
      <c r="F191" s="14">
        <v>0.38</v>
      </c>
      <c r="G191" s="14" t="s">
        <v>2</v>
      </c>
      <c r="H191" s="14" t="s">
        <v>16</v>
      </c>
      <c r="I191" s="14" t="s">
        <v>65</v>
      </c>
      <c r="J191" s="18" t="s">
        <v>58</v>
      </c>
      <c r="K191" s="18">
        <v>90</v>
      </c>
      <c r="L191" s="14">
        <v>1.5</v>
      </c>
      <c r="M191" s="14">
        <v>51.6</v>
      </c>
      <c r="N191" s="20" t="s">
        <v>102</v>
      </c>
      <c r="O191" s="33" t="str">
        <f>VLOOKUP(N191,Reference!A:B,2,)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2" spans="1:15">
      <c r="A192" s="9">
        <v>191</v>
      </c>
      <c r="B192" s="27" t="s">
        <v>110</v>
      </c>
      <c r="C192" s="14">
        <v>45.6</v>
      </c>
      <c r="D192" s="14">
        <v>16.2</v>
      </c>
      <c r="E192" s="14">
        <v>27.4</v>
      </c>
      <c r="F192" s="14">
        <v>0.38</v>
      </c>
      <c r="G192" s="14" t="s">
        <v>2</v>
      </c>
      <c r="H192" s="14" t="s">
        <v>16</v>
      </c>
      <c r="I192" s="14" t="s">
        <v>65</v>
      </c>
      <c r="J192" s="18" t="s">
        <v>58</v>
      </c>
      <c r="K192" s="18">
        <v>90</v>
      </c>
      <c r="L192" s="14">
        <v>2</v>
      </c>
      <c r="M192" s="14">
        <v>56.9</v>
      </c>
      <c r="N192" s="20" t="s">
        <v>102</v>
      </c>
      <c r="O192" s="33" t="str">
        <f>VLOOKUP(N192,Reference!A:B,2,)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3" spans="1:15">
      <c r="A193" s="9">
        <v>192</v>
      </c>
      <c r="B193" s="27" t="s">
        <v>110</v>
      </c>
      <c r="C193" s="14">
        <v>45.6</v>
      </c>
      <c r="D193" s="14">
        <v>16.2</v>
      </c>
      <c r="E193" s="14">
        <v>27.4</v>
      </c>
      <c r="F193" s="14">
        <v>0.38</v>
      </c>
      <c r="G193" s="14" t="s">
        <v>2</v>
      </c>
      <c r="H193" s="14" t="s">
        <v>16</v>
      </c>
      <c r="I193" s="14" t="s">
        <v>65</v>
      </c>
      <c r="J193" s="18" t="s">
        <v>58</v>
      </c>
      <c r="K193" s="18">
        <v>90</v>
      </c>
      <c r="L193" s="14">
        <v>2.5</v>
      </c>
      <c r="M193" s="14">
        <v>69.2</v>
      </c>
      <c r="N193" s="20" t="s">
        <v>102</v>
      </c>
      <c r="O193" s="33" t="str">
        <f>VLOOKUP(N193,Reference!A:B,2,)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4" spans="1:15">
      <c r="A194" s="9">
        <v>193</v>
      </c>
      <c r="B194" s="27" t="s">
        <v>110</v>
      </c>
      <c r="C194" s="14">
        <v>45.6</v>
      </c>
      <c r="D194" s="14">
        <v>16.2</v>
      </c>
      <c r="E194" s="14">
        <v>27.4</v>
      </c>
      <c r="F194" s="14">
        <v>0.38</v>
      </c>
      <c r="G194" s="14" t="s">
        <v>2</v>
      </c>
      <c r="H194" s="14" t="s">
        <v>16</v>
      </c>
      <c r="I194" s="14" t="s">
        <v>65</v>
      </c>
      <c r="J194" s="18" t="s">
        <v>58</v>
      </c>
      <c r="K194" s="18">
        <v>90</v>
      </c>
      <c r="L194" s="14">
        <v>3</v>
      </c>
      <c r="M194" s="14">
        <v>82.1</v>
      </c>
      <c r="N194" s="20" t="s">
        <v>102</v>
      </c>
      <c r="O194" s="33" t="str">
        <f>VLOOKUP(N194,Reference!A:B,2,)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5" spans="1:15">
      <c r="A195" s="9">
        <v>194</v>
      </c>
      <c r="B195" s="27" t="s">
        <v>110</v>
      </c>
      <c r="C195" s="14">
        <v>45.6</v>
      </c>
      <c r="D195" s="14">
        <v>16.2</v>
      </c>
      <c r="E195" s="14">
        <v>27.4</v>
      </c>
      <c r="F195" s="14">
        <v>0.38</v>
      </c>
      <c r="G195" s="14" t="s">
        <v>2</v>
      </c>
      <c r="H195" s="14" t="s">
        <v>16</v>
      </c>
      <c r="I195" s="14" t="s">
        <v>65</v>
      </c>
      <c r="J195" s="18" t="s">
        <v>58</v>
      </c>
      <c r="K195" s="18">
        <v>90</v>
      </c>
      <c r="L195" s="14">
        <v>5</v>
      </c>
      <c r="M195" s="14">
        <v>82.4</v>
      </c>
      <c r="N195" s="20" t="s">
        <v>102</v>
      </c>
      <c r="O195" s="33" t="str">
        <f>VLOOKUP(N195,Reference!A:B,2,)</f>
        <v>Nie, K.; Liu, S.; Zhao, T.; Tan, Z.; Zhang, Y.; Song, Y.; Li, B.; Li, L.; Lv, W.; Han, G.; et al. Efficient fractionation of biomass by acid deep eutectic solvent (DES) and rapid preparation of lignin nanoparticles. Biomass Conversion and Biorefinery 2024, 14 (22), 28755-28765. DOI: 10.1007/s13399-022-03496-9.</v>
      </c>
    </row>
    <row r="196" spans="1:15">
      <c r="A196" s="9">
        <v>195</v>
      </c>
      <c r="B196" s="27" t="s">
        <v>110</v>
      </c>
      <c r="C196" s="14">
        <v>43.2</v>
      </c>
      <c r="D196" s="14">
        <v>20.8</v>
      </c>
      <c r="E196" s="14">
        <v>28.5</v>
      </c>
      <c r="F196" s="14">
        <v>0.42</v>
      </c>
      <c r="G196" s="14" t="s">
        <v>2</v>
      </c>
      <c r="H196" s="14" t="s">
        <v>38</v>
      </c>
      <c r="I196" s="14" t="s">
        <v>59</v>
      </c>
      <c r="J196" s="18" t="s">
        <v>55</v>
      </c>
      <c r="K196" s="18">
        <v>130</v>
      </c>
      <c r="L196" s="14">
        <v>6</v>
      </c>
      <c r="M196" s="14">
        <v>96</v>
      </c>
      <c r="N196" s="20" t="s">
        <v>103</v>
      </c>
      <c r="O196" s="33" t="str">
        <f>VLOOKUP(N196,Reference!A:B,2,)</f>
        <v>Guo, Y.; Xu, L.; Shen, F.; Hu, J.; Huang, M.; He, J.; Zhang, Y.; Deng, S.; Li, Q.; Tian, D. Insights into lignocellulosic waste fractionation for lignin nanospheres fabrication using acidic/alkaline deep eutectic solvents. Chemosphere 2022, 286, 131798. DOI: https://doi.org/10.1016/j.chemosphere.2021.131798.</v>
      </c>
    </row>
    <row r="197" spans="1:15">
      <c r="A197" s="9">
        <v>196</v>
      </c>
      <c r="B197" s="27" t="s">
        <v>110</v>
      </c>
      <c r="C197" s="14">
        <v>43.2</v>
      </c>
      <c r="D197" s="14">
        <v>20.8</v>
      </c>
      <c r="E197" s="14">
        <v>28.5</v>
      </c>
      <c r="F197" s="14">
        <v>0.42</v>
      </c>
      <c r="G197" s="14" t="s">
        <v>2</v>
      </c>
      <c r="H197" s="14" t="s">
        <v>9</v>
      </c>
      <c r="I197" s="14" t="s">
        <v>59</v>
      </c>
      <c r="J197" s="18" t="s">
        <v>55</v>
      </c>
      <c r="K197" s="18">
        <v>130</v>
      </c>
      <c r="L197" s="14">
        <v>6</v>
      </c>
      <c r="M197" s="14">
        <v>97.9</v>
      </c>
      <c r="N197" s="20" t="s">
        <v>103</v>
      </c>
      <c r="O197" s="33" t="str">
        <f>VLOOKUP(N197,Reference!A:B,2,)</f>
        <v>Guo, Y.; Xu, L.; Shen, F.; Hu, J.; Huang, M.; He, J.; Zhang, Y.; Deng, S.; Li, Q.; Tian, D. Insights into lignocellulosic waste fractionation for lignin nanospheres fabrication using acidic/alkaline deep eutectic solvents. Chemosphere 2022, 286, 131798. DOI: https://doi.org/10.1016/j.chemosphere.2021.131798.</v>
      </c>
    </row>
    <row r="198" spans="1:15">
      <c r="A198" s="9">
        <v>197</v>
      </c>
      <c r="B198" s="27" t="s">
        <v>110</v>
      </c>
      <c r="C198" s="14">
        <v>43.2</v>
      </c>
      <c r="D198" s="14">
        <v>20.8</v>
      </c>
      <c r="E198" s="14">
        <v>28.5</v>
      </c>
      <c r="F198" s="14">
        <v>0.42</v>
      </c>
      <c r="G198" s="14" t="s">
        <v>2</v>
      </c>
      <c r="H198" s="14" t="s">
        <v>3</v>
      </c>
      <c r="I198" s="14" t="s">
        <v>54</v>
      </c>
      <c r="J198" s="18" t="s">
        <v>55</v>
      </c>
      <c r="K198" s="18">
        <v>70</v>
      </c>
      <c r="L198" s="14">
        <v>9</v>
      </c>
      <c r="M198" s="14">
        <v>63.78</v>
      </c>
      <c r="N198" s="20" t="s">
        <v>103</v>
      </c>
      <c r="O198" s="33" t="str">
        <f>VLOOKUP(N198,Reference!A:B,2,)</f>
        <v>Guo, Y.; Xu, L.; Shen, F.; Hu, J.; Huang, M.; He, J.; Zhang, Y.; Deng, S.; Li, Q.; Tian, D. Insights into lignocellulosic waste fractionation for lignin nanospheres fabrication using acidic/alkaline deep eutectic solvents. Chemosphere 2022, 286, 131798. DOI: https://doi.org/10.1016/j.chemosphere.2021.131798.</v>
      </c>
    </row>
    <row r="199" spans="1:15">
      <c r="A199" s="9">
        <v>198</v>
      </c>
      <c r="B199" s="27" t="s">
        <v>110</v>
      </c>
      <c r="C199" s="14">
        <v>48.6</v>
      </c>
      <c r="D199" s="14">
        <v>20.9</v>
      </c>
      <c r="E199" s="14">
        <v>25.8</v>
      </c>
      <c r="F199" s="14">
        <v>0.38</v>
      </c>
      <c r="G199" s="14" t="s">
        <v>2</v>
      </c>
      <c r="H199" s="14" t="s">
        <v>17</v>
      </c>
      <c r="I199" s="14" t="s">
        <v>65</v>
      </c>
      <c r="J199" s="18" t="s">
        <v>58</v>
      </c>
      <c r="K199" s="18">
        <v>80</v>
      </c>
      <c r="L199" s="14">
        <v>4</v>
      </c>
      <c r="M199" s="14">
        <v>43.28</v>
      </c>
      <c r="N199" s="20" t="s">
        <v>106</v>
      </c>
      <c r="O199" s="33" t="str">
        <f>VLOOKUP(N199,Reference!A:B,2,)</f>
        <v>Li, W.-X.; Xiao, W.-Z.; Yang, Y.-Q.; Wang, Q.; Chen, X.; Xiao, L.-P.; Sun, R.-C. Insights into bamboo delignification with acidic deep eutectic solvents pretreatment for enhanced lignin fractionation and valorization. Industrial Crops and Products 2021, 170, 113692. DOI: https://doi.org/10.1016/j.indcrop.2021.113692.</v>
      </c>
    </row>
    <row r="200" spans="1:15">
      <c r="A200" s="9">
        <v>199</v>
      </c>
      <c r="B200" s="27" t="s">
        <v>110</v>
      </c>
      <c r="C200" s="14">
        <v>48.6</v>
      </c>
      <c r="D200" s="14">
        <v>20.9</v>
      </c>
      <c r="E200" s="14">
        <v>25.8</v>
      </c>
      <c r="F200" s="14">
        <v>0.38</v>
      </c>
      <c r="G200" s="14" t="s">
        <v>2</v>
      </c>
      <c r="H200" s="14" t="s">
        <v>17</v>
      </c>
      <c r="I200" s="14" t="s">
        <v>65</v>
      </c>
      <c r="J200" s="18" t="s">
        <v>58</v>
      </c>
      <c r="K200" s="18">
        <v>90</v>
      </c>
      <c r="L200" s="14">
        <v>4</v>
      </c>
      <c r="M200" s="14">
        <v>57.56</v>
      </c>
      <c r="N200" s="20" t="s">
        <v>106</v>
      </c>
      <c r="O200" s="33" t="str">
        <f>VLOOKUP(N200,Reference!A:B,2,)</f>
        <v>Li, W.-X.; Xiao, W.-Z.; Yang, Y.-Q.; Wang, Q.; Chen, X.; Xiao, L.-P.; Sun, R.-C. Insights into bamboo delignification with acidic deep eutectic solvents pretreatment for enhanced lignin fractionation and valorization. Industrial Crops and Products 2021, 170, 113692. DOI: https://doi.org/10.1016/j.indcrop.2021.113692.</v>
      </c>
    </row>
    <row r="201" spans="1:15">
      <c r="A201" s="9">
        <v>200</v>
      </c>
      <c r="B201" s="27" t="s">
        <v>110</v>
      </c>
      <c r="C201" s="14">
        <v>48.6</v>
      </c>
      <c r="D201" s="14">
        <v>20.9</v>
      </c>
      <c r="E201" s="14">
        <v>25.8</v>
      </c>
      <c r="F201" s="14">
        <v>0.38</v>
      </c>
      <c r="G201" s="14" t="s">
        <v>2</v>
      </c>
      <c r="H201" s="14" t="s">
        <v>17</v>
      </c>
      <c r="I201" s="14" t="s">
        <v>65</v>
      </c>
      <c r="J201" s="18" t="s">
        <v>58</v>
      </c>
      <c r="K201" s="18">
        <v>100</v>
      </c>
      <c r="L201" s="14">
        <v>4</v>
      </c>
      <c r="M201" s="14">
        <v>69.53</v>
      </c>
      <c r="N201" s="20" t="s">
        <v>106</v>
      </c>
      <c r="O201" s="33" t="str">
        <f>VLOOKUP(N201,Reference!A:B,2,)</f>
        <v>Li, W.-X.; Xiao, W.-Z.; Yang, Y.-Q.; Wang, Q.; Chen, X.; Xiao, L.-P.; Sun, R.-C. Insights into bamboo delignification with acidic deep eutectic solvents pretreatment for enhanced lignin fractionation and valorization. Industrial Crops and Products 2021, 170, 113692. DOI: https://doi.org/10.1016/j.indcrop.2021.113692.</v>
      </c>
    </row>
    <row r="202" spans="1:15">
      <c r="A202" s="9">
        <v>201</v>
      </c>
      <c r="B202" s="27" t="s">
        <v>110</v>
      </c>
      <c r="C202" s="14">
        <v>48.6</v>
      </c>
      <c r="D202" s="14">
        <v>20.9</v>
      </c>
      <c r="E202" s="14">
        <v>25.8</v>
      </c>
      <c r="F202" s="14">
        <v>0.38</v>
      </c>
      <c r="G202" s="14" t="s">
        <v>2</v>
      </c>
      <c r="H202" s="14" t="s">
        <v>17</v>
      </c>
      <c r="I202" s="14" t="s">
        <v>65</v>
      </c>
      <c r="J202" s="18" t="s">
        <v>58</v>
      </c>
      <c r="K202" s="18">
        <v>110</v>
      </c>
      <c r="L202" s="14">
        <v>4</v>
      </c>
      <c r="M202" s="14">
        <v>82.07</v>
      </c>
      <c r="N202" s="20" t="s">
        <v>106</v>
      </c>
      <c r="O202" s="33" t="str">
        <f>VLOOKUP(N202,Reference!A:B,2,)</f>
        <v>Li, W.-X.; Xiao, W.-Z.; Yang, Y.-Q.; Wang, Q.; Chen, X.; Xiao, L.-P.; Sun, R.-C. Insights into bamboo delignification with acidic deep eutectic solvents pretreatment for enhanced lignin fractionation and valorization. Industrial Crops and Products 2021, 170, 113692. DOI: https://doi.org/10.1016/j.indcrop.2021.113692.</v>
      </c>
    </row>
    <row r="203" spans="1:15">
      <c r="A203" s="9">
        <v>202</v>
      </c>
      <c r="B203" s="27" t="s">
        <v>110</v>
      </c>
      <c r="C203" s="14">
        <v>48.6</v>
      </c>
      <c r="D203" s="14">
        <v>20.9</v>
      </c>
      <c r="E203" s="14">
        <v>25.8</v>
      </c>
      <c r="F203" s="14">
        <v>0.38</v>
      </c>
      <c r="G203" s="14" t="s">
        <v>2</v>
      </c>
      <c r="H203" s="14" t="s">
        <v>17</v>
      </c>
      <c r="I203" s="14" t="s">
        <v>65</v>
      </c>
      <c r="J203" s="18" t="s">
        <v>58</v>
      </c>
      <c r="K203" s="18">
        <v>120</v>
      </c>
      <c r="L203" s="14">
        <v>4</v>
      </c>
      <c r="M203" s="14">
        <v>88.42</v>
      </c>
      <c r="N203" s="20" t="s">
        <v>106</v>
      </c>
      <c r="O203" s="33" t="str">
        <f>VLOOKUP(N203,Reference!A:B,2,)</f>
        <v>Li, W.-X.; Xiao, W.-Z.; Yang, Y.-Q.; Wang, Q.; Chen, X.; Xiao, L.-P.; Sun, R.-C. Insights into bamboo delignification with acidic deep eutectic solvents pretreatment for enhanced lignin fractionation and valorization. Industrial Crops and Products 2021, 170, 113692. DOI: https://doi.org/10.1016/j.indcrop.2021.113692.</v>
      </c>
    </row>
    <row r="204" spans="1:15">
      <c r="A204" s="9">
        <v>203</v>
      </c>
      <c r="B204" s="27" t="s">
        <v>110</v>
      </c>
      <c r="C204" s="14">
        <v>45.44</v>
      </c>
      <c r="D204" s="13">
        <v>26.17</v>
      </c>
      <c r="E204" s="13">
        <v>26.1</v>
      </c>
      <c r="F204" s="13">
        <v>0.38</v>
      </c>
      <c r="G204" s="14" t="s">
        <v>2</v>
      </c>
      <c r="H204" s="14" t="s">
        <v>9</v>
      </c>
      <c r="I204" s="18" t="s">
        <v>59</v>
      </c>
      <c r="J204" s="18" t="s">
        <v>55</v>
      </c>
      <c r="K204" s="14">
        <v>120</v>
      </c>
      <c r="L204" s="14">
        <v>3</v>
      </c>
      <c r="M204" s="13">
        <v>88.678448275862095</v>
      </c>
      <c r="N204" s="20" t="s">
        <v>107</v>
      </c>
      <c r="O204" s="33" t="str">
        <f>VLOOKUP(N204,Reference!A:B,2,)</f>
        <v>Song, K.; Yu, L.; Yang, S.; Cao, Y.; Li, L.; Wu, Z.; Shi, H.; Ma, Q. Insights into the Chemical Structure and Antioxidant Activity of Lignin Extracted from Bamboo by Acidic Deep Eutectic Solvents. ACS Omega 2024, 9 (39), 40956-40969. DOI: 10.1021/acsomega.4c06259.</v>
      </c>
    </row>
    <row r="205" spans="1:15">
      <c r="A205" s="9">
        <v>204</v>
      </c>
      <c r="B205" s="27" t="s">
        <v>110</v>
      </c>
      <c r="C205" s="14">
        <v>45.44</v>
      </c>
      <c r="D205" s="13">
        <v>26.17</v>
      </c>
      <c r="E205" s="13">
        <v>26.1</v>
      </c>
      <c r="F205" s="13">
        <v>0.38</v>
      </c>
      <c r="G205" s="14" t="s">
        <v>2</v>
      </c>
      <c r="H205" s="14" t="s">
        <v>24</v>
      </c>
      <c r="I205" s="18" t="s">
        <v>59</v>
      </c>
      <c r="J205" s="18" t="s">
        <v>55</v>
      </c>
      <c r="K205" s="14">
        <v>120</v>
      </c>
      <c r="L205" s="14">
        <v>3</v>
      </c>
      <c r="M205" s="13">
        <v>86.346206896551706</v>
      </c>
      <c r="N205" s="20" t="s">
        <v>107</v>
      </c>
      <c r="O205" s="33" t="str">
        <f>VLOOKUP(N205,Reference!A:B,2,)</f>
        <v>Song, K.; Yu, L.; Yang, S.; Cao, Y.; Li, L.; Wu, Z.; Shi, H.; Ma, Q. Insights into the Chemical Structure and Antioxidant Activity of Lignin Extracted from Bamboo by Acidic Deep Eutectic Solvents. ACS Omega 2024, 9 (39), 40956-40969. DOI: 10.1021/acsomega.4c06259.</v>
      </c>
    </row>
    <row r="206" spans="1:15">
      <c r="A206" s="9">
        <v>205</v>
      </c>
      <c r="B206" s="27" t="s">
        <v>110</v>
      </c>
      <c r="C206" s="14">
        <v>45.44</v>
      </c>
      <c r="D206" s="13">
        <v>26.17</v>
      </c>
      <c r="E206" s="13">
        <v>26.1</v>
      </c>
      <c r="F206" s="13">
        <v>0.38</v>
      </c>
      <c r="G206" s="14" t="s">
        <v>2</v>
      </c>
      <c r="H206" s="14" t="s">
        <v>38</v>
      </c>
      <c r="I206" s="18" t="s">
        <v>59</v>
      </c>
      <c r="J206" s="18" t="s">
        <v>55</v>
      </c>
      <c r="K206" s="14">
        <v>120</v>
      </c>
      <c r="L206" s="14">
        <v>3</v>
      </c>
      <c r="M206" s="13">
        <v>87.596724137931005</v>
      </c>
      <c r="N206" s="20" t="s">
        <v>107</v>
      </c>
      <c r="O206" s="33" t="str">
        <f>VLOOKUP(N206,Reference!A:B,2,)</f>
        <v>Song, K.; Yu, L.; Yang, S.; Cao, Y.; Li, L.; Wu, Z.; Shi, H.; Ma, Q. Insights into the Chemical Structure and Antioxidant Activity of Lignin Extracted from Bamboo by Acidic Deep Eutectic Solvents. ACS Omega 2024, 9 (39), 40956-40969. DOI: 10.1021/acsomega.4c06259.</v>
      </c>
    </row>
    <row r="207" spans="1:15">
      <c r="A207" s="9">
        <v>206</v>
      </c>
      <c r="B207" s="27" t="s">
        <v>110</v>
      </c>
      <c r="C207" s="14">
        <v>45.44</v>
      </c>
      <c r="D207" s="13">
        <v>26.17</v>
      </c>
      <c r="E207" s="13">
        <v>26.1</v>
      </c>
      <c r="F207" s="13">
        <v>0.38</v>
      </c>
      <c r="G207" s="14" t="s">
        <v>2</v>
      </c>
      <c r="H207" s="14" t="s">
        <v>15</v>
      </c>
      <c r="I207" s="18" t="s">
        <v>59</v>
      </c>
      <c r="J207" s="18" t="s">
        <v>55</v>
      </c>
      <c r="K207" s="14">
        <v>120</v>
      </c>
      <c r="L207" s="14">
        <v>3</v>
      </c>
      <c r="M207" s="13">
        <v>86.046743295019198</v>
      </c>
      <c r="N207" s="20" t="s">
        <v>107</v>
      </c>
      <c r="O207" s="33" t="str">
        <f>VLOOKUP(N207,Reference!A:B,2,)</f>
        <v>Song, K.; Yu, L.; Yang, S.; Cao, Y.; Li, L.; Wu, Z.; Shi, H.; Ma, Q. Insights into the Chemical Structure and Antioxidant Activity of Lignin Extracted from Bamboo by Acidic Deep Eutectic Solvents. ACS Omega 2024, 9 (39), 40956-40969. DOI: 10.1021/acsomega.4c06259.</v>
      </c>
    </row>
    <row r="208" spans="1:15">
      <c r="A208" s="9">
        <v>207</v>
      </c>
      <c r="B208" s="27" t="s">
        <v>110</v>
      </c>
      <c r="C208" s="14">
        <v>45.44</v>
      </c>
      <c r="D208" s="13">
        <v>26.17</v>
      </c>
      <c r="E208" s="13">
        <v>26.1</v>
      </c>
      <c r="F208" s="13">
        <v>0.38</v>
      </c>
      <c r="G208" s="14" t="s">
        <v>2</v>
      </c>
      <c r="H208" s="14" t="s">
        <v>13</v>
      </c>
      <c r="I208" s="18" t="s">
        <v>59</v>
      </c>
      <c r="J208" s="18" t="s">
        <v>55</v>
      </c>
      <c r="K208" s="14">
        <v>120</v>
      </c>
      <c r="L208" s="14">
        <v>3</v>
      </c>
      <c r="M208" s="13">
        <v>87.225701149425305</v>
      </c>
      <c r="N208" s="20" t="s">
        <v>107</v>
      </c>
      <c r="O208" s="33" t="str">
        <f>VLOOKUP(N208,Reference!A:B,2,)</f>
        <v>Song, K.; Yu, L.; Yang, S.; Cao, Y.; Li, L.; Wu, Z.; Shi, H.; Ma, Q. Insights into the Chemical Structure and Antioxidant Activity of Lignin Extracted from Bamboo by Acidic Deep Eutectic Solvents. ACS Omega 2024, 9 (39), 40956-40969. DOI: 10.1021/acsomega.4c06259.</v>
      </c>
    </row>
    <row r="209" spans="1:15">
      <c r="A209" s="9">
        <v>208</v>
      </c>
      <c r="B209" s="27" t="s">
        <v>110</v>
      </c>
      <c r="C209" s="14">
        <v>45.44</v>
      </c>
      <c r="D209" s="13">
        <v>26.17</v>
      </c>
      <c r="E209" s="13">
        <v>26.1</v>
      </c>
      <c r="F209" s="13">
        <v>0.38</v>
      </c>
      <c r="G209" s="14" t="s">
        <v>2</v>
      </c>
      <c r="H209" s="15" t="s">
        <v>11</v>
      </c>
      <c r="I209" s="18" t="s">
        <v>65</v>
      </c>
      <c r="J209" s="18" t="s">
        <v>55</v>
      </c>
      <c r="K209" s="14">
        <v>120</v>
      </c>
      <c r="L209" s="14">
        <v>3</v>
      </c>
      <c r="M209" s="13">
        <v>98.499750957854403</v>
      </c>
      <c r="N209" s="20" t="s">
        <v>107</v>
      </c>
      <c r="O209" s="33" t="str">
        <f>VLOOKUP(N209,Reference!A:B,2,)</f>
        <v>Song, K.; Yu, L.; Yang, S.; Cao, Y.; Li, L.; Wu, Z.; Shi, H.; Ma, Q. Insights into the Chemical Structure and Antioxidant Activity of Lignin Extracted from Bamboo by Acidic Deep Eutectic Solvents. ACS Omega 2024, 9 (39), 40956-40969. DOI: 10.1021/acsomega.4c06259.</v>
      </c>
    </row>
    <row r="210" spans="1:15">
      <c r="A210" s="9">
        <v>209</v>
      </c>
      <c r="B210" s="27" t="s">
        <v>110</v>
      </c>
      <c r="C210" s="13">
        <v>38.4</v>
      </c>
      <c r="D210" s="13">
        <v>21.3</v>
      </c>
      <c r="E210" s="13">
        <v>29.6</v>
      </c>
      <c r="F210" s="13">
        <v>1</v>
      </c>
      <c r="G210" s="14" t="s">
        <v>2</v>
      </c>
      <c r="H210" s="14" t="s">
        <v>9</v>
      </c>
      <c r="I210" s="14" t="s">
        <v>75</v>
      </c>
      <c r="J210" s="18" t="s">
        <v>62</v>
      </c>
      <c r="K210" s="14">
        <v>110</v>
      </c>
      <c r="L210" s="14">
        <v>1.5</v>
      </c>
      <c r="M210" s="13">
        <v>0.2</v>
      </c>
      <c r="N210" s="20" t="s">
        <v>108</v>
      </c>
      <c r="O210" s="33" t="str">
        <f>VLOOKUP(N210,Reference!A:B,2,)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1" spans="1:15">
      <c r="A211" s="9">
        <v>210</v>
      </c>
      <c r="B211" s="27" t="s">
        <v>110</v>
      </c>
      <c r="C211" s="13">
        <v>38.4</v>
      </c>
      <c r="D211" s="13">
        <v>21.3</v>
      </c>
      <c r="E211" s="13">
        <v>29.6</v>
      </c>
      <c r="F211" s="13">
        <v>1</v>
      </c>
      <c r="G211" s="14" t="s">
        <v>2</v>
      </c>
      <c r="H211" s="14" t="s">
        <v>9</v>
      </c>
      <c r="I211" s="14" t="s">
        <v>65</v>
      </c>
      <c r="J211" s="18" t="s">
        <v>62</v>
      </c>
      <c r="K211" s="14">
        <v>110</v>
      </c>
      <c r="L211" s="14">
        <v>1.5</v>
      </c>
      <c r="M211" s="13">
        <v>11.2</v>
      </c>
      <c r="N211" s="20" t="s">
        <v>108</v>
      </c>
      <c r="O211" s="33" t="str">
        <f>VLOOKUP(N211,Reference!A:B,2,)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2" spans="1:15">
      <c r="A212" s="9">
        <v>211</v>
      </c>
      <c r="B212" s="27" t="s">
        <v>110</v>
      </c>
      <c r="C212" s="13">
        <v>38.4</v>
      </c>
      <c r="D212" s="13">
        <v>21.3</v>
      </c>
      <c r="E212" s="13">
        <v>29.6</v>
      </c>
      <c r="F212" s="13">
        <v>1</v>
      </c>
      <c r="G212" s="14" t="s">
        <v>2</v>
      </c>
      <c r="H212" s="14" t="s">
        <v>9</v>
      </c>
      <c r="I212" s="18" t="s">
        <v>59</v>
      </c>
      <c r="J212" s="18" t="s">
        <v>62</v>
      </c>
      <c r="K212" s="14">
        <v>110</v>
      </c>
      <c r="L212" s="14">
        <v>1.5</v>
      </c>
      <c r="M212" s="13">
        <v>23.7</v>
      </c>
      <c r="N212" s="20" t="s">
        <v>108</v>
      </c>
      <c r="O212" s="33" t="str">
        <f>VLOOKUP(N212,Reference!A:B,2,)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3" spans="1:15">
      <c r="A213" s="9">
        <v>212</v>
      </c>
      <c r="B213" s="27" t="s">
        <v>110</v>
      </c>
      <c r="C213" s="13">
        <v>38.4</v>
      </c>
      <c r="D213" s="13">
        <v>21.3</v>
      </c>
      <c r="E213" s="13">
        <v>29.6</v>
      </c>
      <c r="F213" s="13">
        <v>1</v>
      </c>
      <c r="G213" s="14" t="s">
        <v>2</v>
      </c>
      <c r="H213" s="14" t="s">
        <v>9</v>
      </c>
      <c r="I213" s="18" t="s">
        <v>80</v>
      </c>
      <c r="J213" s="18" t="s">
        <v>62</v>
      </c>
      <c r="K213" s="14">
        <v>110</v>
      </c>
      <c r="L213" s="14">
        <v>1.5</v>
      </c>
      <c r="M213" s="13">
        <v>42.3</v>
      </c>
      <c r="N213" s="20" t="s">
        <v>108</v>
      </c>
      <c r="O213" s="33" t="str">
        <f>VLOOKUP(N213,Reference!A:B,2,)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4" spans="1:15">
      <c r="A214" s="9">
        <v>213</v>
      </c>
      <c r="B214" s="27" t="s">
        <v>110</v>
      </c>
      <c r="C214" s="13">
        <v>38.4</v>
      </c>
      <c r="D214" s="13">
        <v>21.3</v>
      </c>
      <c r="E214" s="13">
        <v>29.6</v>
      </c>
      <c r="F214" s="13">
        <v>1</v>
      </c>
      <c r="G214" s="14" t="s">
        <v>2</v>
      </c>
      <c r="H214" s="14" t="s">
        <v>9</v>
      </c>
      <c r="I214" s="18" t="s">
        <v>57</v>
      </c>
      <c r="J214" s="18" t="s">
        <v>62</v>
      </c>
      <c r="K214" s="14">
        <v>110</v>
      </c>
      <c r="L214" s="14">
        <v>1.5</v>
      </c>
      <c r="M214" s="13">
        <v>41.2</v>
      </c>
      <c r="N214" s="20" t="s">
        <v>108</v>
      </c>
      <c r="O214" s="33" t="str">
        <f>VLOOKUP(N214,Reference!A:B,2,)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5" spans="1:15">
      <c r="A215" s="9">
        <v>214</v>
      </c>
      <c r="B215" s="27" t="s">
        <v>110</v>
      </c>
      <c r="C215" s="13">
        <v>38.4</v>
      </c>
      <c r="D215" s="13">
        <v>21.3</v>
      </c>
      <c r="E215" s="13">
        <v>29.6</v>
      </c>
      <c r="F215" s="13">
        <v>1</v>
      </c>
      <c r="G215" s="14" t="s">
        <v>2</v>
      </c>
      <c r="H215" s="14" t="s">
        <v>9</v>
      </c>
      <c r="I215" s="14" t="s">
        <v>75</v>
      </c>
      <c r="J215" s="18" t="s">
        <v>62</v>
      </c>
      <c r="K215" s="14">
        <v>130</v>
      </c>
      <c r="L215" s="14">
        <v>1.5</v>
      </c>
      <c r="M215" s="13">
        <v>19</v>
      </c>
      <c r="N215" s="20" t="s">
        <v>108</v>
      </c>
      <c r="O215" s="33" t="str">
        <f>VLOOKUP(N215,Reference!A:B,2,)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6" spans="1:15">
      <c r="A216" s="9">
        <v>215</v>
      </c>
      <c r="B216" s="27" t="s">
        <v>110</v>
      </c>
      <c r="C216" s="13">
        <v>38.4</v>
      </c>
      <c r="D216" s="13">
        <v>21.3</v>
      </c>
      <c r="E216" s="13">
        <v>29.6</v>
      </c>
      <c r="F216" s="13">
        <v>1</v>
      </c>
      <c r="G216" s="14" t="s">
        <v>2</v>
      </c>
      <c r="H216" s="14" t="s">
        <v>9</v>
      </c>
      <c r="I216" s="14" t="s">
        <v>65</v>
      </c>
      <c r="J216" s="18" t="s">
        <v>62</v>
      </c>
      <c r="K216" s="14">
        <v>130</v>
      </c>
      <c r="L216" s="14">
        <v>1.5</v>
      </c>
      <c r="M216" s="13">
        <v>25.5</v>
      </c>
      <c r="N216" s="20" t="s">
        <v>108</v>
      </c>
      <c r="O216" s="33" t="str">
        <f>VLOOKUP(N216,Reference!A:B,2,)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7" spans="1:15">
      <c r="A217" s="9">
        <v>216</v>
      </c>
      <c r="B217" s="27" t="s">
        <v>110</v>
      </c>
      <c r="C217" s="13">
        <v>38.4</v>
      </c>
      <c r="D217" s="13">
        <v>21.3</v>
      </c>
      <c r="E217" s="13">
        <v>29.6</v>
      </c>
      <c r="F217" s="13">
        <v>1</v>
      </c>
      <c r="G217" s="14" t="s">
        <v>2</v>
      </c>
      <c r="H217" s="14" t="s">
        <v>9</v>
      </c>
      <c r="I217" s="18" t="s">
        <v>59</v>
      </c>
      <c r="J217" s="18" t="s">
        <v>62</v>
      </c>
      <c r="K217" s="14">
        <v>130</v>
      </c>
      <c r="L217" s="14">
        <v>1.5</v>
      </c>
      <c r="M217" s="13">
        <v>66.099999999999994</v>
      </c>
      <c r="N217" s="20" t="s">
        <v>108</v>
      </c>
      <c r="O217" s="33" t="str">
        <f>VLOOKUP(N217,Reference!A:B,2,)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8" spans="1:15">
      <c r="A218" s="9">
        <v>217</v>
      </c>
      <c r="B218" s="27" t="s">
        <v>110</v>
      </c>
      <c r="C218" s="13">
        <v>38.4</v>
      </c>
      <c r="D218" s="13">
        <v>21.3</v>
      </c>
      <c r="E218" s="13">
        <v>29.6</v>
      </c>
      <c r="F218" s="13">
        <v>1</v>
      </c>
      <c r="G218" s="14" t="s">
        <v>2</v>
      </c>
      <c r="H218" s="14" t="s">
        <v>9</v>
      </c>
      <c r="I218" s="18" t="s">
        <v>80</v>
      </c>
      <c r="J218" s="18" t="s">
        <v>62</v>
      </c>
      <c r="K218" s="14">
        <v>130</v>
      </c>
      <c r="L218" s="14">
        <v>1.5</v>
      </c>
      <c r="M218" s="13">
        <v>83.6</v>
      </c>
      <c r="N218" s="20" t="s">
        <v>108</v>
      </c>
      <c r="O218" s="33" t="str">
        <f>VLOOKUP(N218,Reference!A:B,2,)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19" spans="1:15">
      <c r="A219" s="9">
        <v>218</v>
      </c>
      <c r="B219" s="27" t="s">
        <v>110</v>
      </c>
      <c r="C219" s="13">
        <v>38.4</v>
      </c>
      <c r="D219" s="13">
        <v>21.3</v>
      </c>
      <c r="E219" s="13">
        <v>29.6</v>
      </c>
      <c r="F219" s="13">
        <v>1</v>
      </c>
      <c r="G219" s="14" t="s">
        <v>2</v>
      </c>
      <c r="H219" s="14" t="s">
        <v>9</v>
      </c>
      <c r="I219" s="18" t="s">
        <v>57</v>
      </c>
      <c r="J219" s="18" t="s">
        <v>62</v>
      </c>
      <c r="K219" s="14">
        <v>130</v>
      </c>
      <c r="L219" s="14">
        <v>1.5</v>
      </c>
      <c r="M219" s="13">
        <v>84.1</v>
      </c>
      <c r="N219" s="20" t="s">
        <v>108</v>
      </c>
      <c r="O219" s="33" t="str">
        <f>VLOOKUP(N219,Reference!A:B,2,)</f>
        <v>Lin, W.; Xing, S.; Jin, Y.; Lu, X.; Huang, C.; Yong, Q. Insight into understanding the performance of deep eutectic solvent pretreatment on improving enzymatic digestibility of bamboo residues. Bioresource Technology 2020, 306, 123163. DOI: https://doi.org/10.1016/j.biortech.2020.123163.</v>
      </c>
    </row>
    <row r="220" spans="1:15">
      <c r="A220" s="9">
        <v>219</v>
      </c>
      <c r="B220" s="27" t="s">
        <v>116</v>
      </c>
      <c r="C220" s="14">
        <v>29.1</v>
      </c>
      <c r="D220" s="14">
        <v>12.6</v>
      </c>
      <c r="E220" s="14">
        <v>18.2</v>
      </c>
      <c r="F220" s="14">
        <v>0.55000000000000004</v>
      </c>
      <c r="G220" s="14" t="s">
        <v>2</v>
      </c>
      <c r="H220" s="14" t="s">
        <v>17</v>
      </c>
      <c r="I220" s="14" t="s">
        <v>73</v>
      </c>
      <c r="J220" s="18" t="s">
        <v>58</v>
      </c>
      <c r="K220" s="18">
        <v>90</v>
      </c>
      <c r="L220" s="14">
        <v>1</v>
      </c>
      <c r="M220" s="14">
        <v>33.6</v>
      </c>
      <c r="N220" s="20" t="s">
        <v>109</v>
      </c>
      <c r="O220" s="33" t="str">
        <f>VLOOKUP(N220,Reference!A:B,2,)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1" spans="1:15">
      <c r="A221" s="9">
        <v>220</v>
      </c>
      <c r="B221" s="27" t="s">
        <v>116</v>
      </c>
      <c r="C221" s="14">
        <v>29.1</v>
      </c>
      <c r="D221" s="14">
        <v>12.6</v>
      </c>
      <c r="E221" s="14">
        <v>18.2</v>
      </c>
      <c r="F221" s="14">
        <v>0.55000000000000004</v>
      </c>
      <c r="G221" s="14" t="s">
        <v>2</v>
      </c>
      <c r="H221" s="14" t="s">
        <v>17</v>
      </c>
      <c r="I221" s="14" t="s">
        <v>75</v>
      </c>
      <c r="J221" s="18" t="s">
        <v>58</v>
      </c>
      <c r="K221" s="18">
        <v>90</v>
      </c>
      <c r="L221" s="14">
        <v>1</v>
      </c>
      <c r="M221" s="14">
        <v>38.799999999999997</v>
      </c>
      <c r="N221" s="20" t="s">
        <v>109</v>
      </c>
      <c r="O221" s="33" t="str">
        <f>VLOOKUP(N221,Reference!A:B,2,)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2" spans="1:15">
      <c r="A222" s="9">
        <v>221</v>
      </c>
      <c r="B222" s="27" t="s">
        <v>116</v>
      </c>
      <c r="C222" s="14">
        <v>29.1</v>
      </c>
      <c r="D222" s="14">
        <v>12.6</v>
      </c>
      <c r="E222" s="14">
        <v>18.2</v>
      </c>
      <c r="F222" s="14">
        <v>0.55000000000000004</v>
      </c>
      <c r="G222" s="14" t="s">
        <v>2</v>
      </c>
      <c r="H222" s="14" t="s">
        <v>17</v>
      </c>
      <c r="I222" s="14" t="s">
        <v>65</v>
      </c>
      <c r="J222" s="18" t="s">
        <v>58</v>
      </c>
      <c r="K222" s="18">
        <v>90</v>
      </c>
      <c r="L222" s="14">
        <v>1</v>
      </c>
      <c r="M222" s="14">
        <v>49.2</v>
      </c>
      <c r="N222" s="20" t="s">
        <v>109</v>
      </c>
      <c r="O222" s="33" t="str">
        <f>VLOOKUP(N222,Reference!A:B,2,)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3" spans="1:15">
      <c r="A223" s="9">
        <v>222</v>
      </c>
      <c r="B223" s="27" t="s">
        <v>116</v>
      </c>
      <c r="C223" s="14">
        <v>29.1</v>
      </c>
      <c r="D223" s="14">
        <v>12.6</v>
      </c>
      <c r="E223" s="14">
        <v>18.2</v>
      </c>
      <c r="F223" s="14">
        <v>0.55000000000000004</v>
      </c>
      <c r="G223" s="14" t="s">
        <v>2</v>
      </c>
      <c r="H223" s="14" t="s">
        <v>17</v>
      </c>
      <c r="I223" s="14" t="s">
        <v>59</v>
      </c>
      <c r="J223" s="18" t="s">
        <v>58</v>
      </c>
      <c r="K223" s="18">
        <v>90</v>
      </c>
      <c r="L223" s="14">
        <v>1</v>
      </c>
      <c r="M223" s="14">
        <v>51.5</v>
      </c>
      <c r="N223" s="20" t="s">
        <v>109</v>
      </c>
      <c r="O223" s="33" t="str">
        <f>VLOOKUP(N223,Reference!A:B,2,)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4" spans="1:15">
      <c r="A224" s="9">
        <v>223</v>
      </c>
      <c r="B224" s="27" t="s">
        <v>116</v>
      </c>
      <c r="C224" s="14">
        <v>29.1</v>
      </c>
      <c r="D224" s="14">
        <v>12.6</v>
      </c>
      <c r="E224" s="14">
        <v>18.2</v>
      </c>
      <c r="F224" s="14">
        <v>0.55000000000000004</v>
      </c>
      <c r="G224" s="14" t="s">
        <v>2</v>
      </c>
      <c r="H224" s="14" t="s">
        <v>17</v>
      </c>
      <c r="I224" s="14" t="s">
        <v>98</v>
      </c>
      <c r="J224" s="18" t="s">
        <v>58</v>
      </c>
      <c r="K224" s="18">
        <v>90</v>
      </c>
      <c r="L224" s="14">
        <v>1</v>
      </c>
      <c r="M224" s="14">
        <v>51.6</v>
      </c>
      <c r="N224" s="20" t="s">
        <v>109</v>
      </c>
      <c r="O224" s="33" t="str">
        <f>VLOOKUP(N224,Reference!A:B,2,)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5" spans="1:15">
      <c r="A225" s="9">
        <v>224</v>
      </c>
      <c r="B225" s="27" t="s">
        <v>116</v>
      </c>
      <c r="C225" s="14">
        <v>29.1</v>
      </c>
      <c r="D225" s="14">
        <v>12.6</v>
      </c>
      <c r="E225" s="14">
        <v>18.2</v>
      </c>
      <c r="F225" s="14">
        <v>0.55000000000000004</v>
      </c>
      <c r="G225" s="14" t="s">
        <v>2</v>
      </c>
      <c r="H225" s="14" t="s">
        <v>17</v>
      </c>
      <c r="I225" s="14" t="s">
        <v>73</v>
      </c>
      <c r="J225" s="18" t="s">
        <v>58</v>
      </c>
      <c r="K225" s="18">
        <v>100</v>
      </c>
      <c r="L225" s="14">
        <v>1</v>
      </c>
      <c r="M225" s="14">
        <v>42.5</v>
      </c>
      <c r="N225" s="20" t="s">
        <v>109</v>
      </c>
      <c r="O225" s="33" t="str">
        <f>VLOOKUP(N225,Reference!A:B,2,)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6" spans="1:15">
      <c r="A226" s="9">
        <v>225</v>
      </c>
      <c r="B226" s="27" t="s">
        <v>116</v>
      </c>
      <c r="C226" s="14">
        <v>29.1</v>
      </c>
      <c r="D226" s="14">
        <v>12.6</v>
      </c>
      <c r="E226" s="14">
        <v>18.2</v>
      </c>
      <c r="F226" s="14">
        <v>0.55000000000000004</v>
      </c>
      <c r="G226" s="14" t="s">
        <v>2</v>
      </c>
      <c r="H226" s="14" t="s">
        <v>17</v>
      </c>
      <c r="I226" s="14" t="s">
        <v>75</v>
      </c>
      <c r="J226" s="18" t="s">
        <v>58</v>
      </c>
      <c r="K226" s="18">
        <v>100</v>
      </c>
      <c r="L226" s="14">
        <v>1</v>
      </c>
      <c r="M226" s="14">
        <v>33.6</v>
      </c>
      <c r="N226" s="20" t="s">
        <v>109</v>
      </c>
      <c r="O226" s="33" t="str">
        <f>VLOOKUP(N226,Reference!A:B,2,)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7" spans="1:15">
      <c r="A227" s="9">
        <v>226</v>
      </c>
      <c r="B227" s="27" t="s">
        <v>116</v>
      </c>
      <c r="C227" s="14">
        <v>29.1</v>
      </c>
      <c r="D227" s="14">
        <v>12.6</v>
      </c>
      <c r="E227" s="14">
        <v>18.2</v>
      </c>
      <c r="F227" s="14">
        <v>0.55000000000000004</v>
      </c>
      <c r="G227" s="14" t="s">
        <v>2</v>
      </c>
      <c r="H227" s="14" t="s">
        <v>17</v>
      </c>
      <c r="I227" s="14" t="s">
        <v>65</v>
      </c>
      <c r="J227" s="18" t="s">
        <v>58</v>
      </c>
      <c r="K227" s="18">
        <v>100</v>
      </c>
      <c r="L227" s="14">
        <v>1</v>
      </c>
      <c r="M227" s="14">
        <v>64.7</v>
      </c>
      <c r="N227" s="20" t="s">
        <v>109</v>
      </c>
      <c r="O227" s="33" t="str">
        <f>VLOOKUP(N227,Reference!A:B,2,)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8" spans="1:15">
      <c r="A228" s="9">
        <v>227</v>
      </c>
      <c r="B228" s="27" t="s">
        <v>116</v>
      </c>
      <c r="C228" s="14">
        <v>29.1</v>
      </c>
      <c r="D228" s="14">
        <v>12.6</v>
      </c>
      <c r="E228" s="14">
        <v>18.2</v>
      </c>
      <c r="F228" s="14">
        <v>0.55000000000000004</v>
      </c>
      <c r="G228" s="14" t="s">
        <v>2</v>
      </c>
      <c r="H228" s="14" t="s">
        <v>17</v>
      </c>
      <c r="I228" s="14" t="s">
        <v>59</v>
      </c>
      <c r="J228" s="18" t="s">
        <v>58</v>
      </c>
      <c r="K228" s="18">
        <v>100</v>
      </c>
      <c r="L228" s="14">
        <v>1</v>
      </c>
      <c r="M228" s="14">
        <v>62.3</v>
      </c>
      <c r="N228" s="20" t="s">
        <v>109</v>
      </c>
      <c r="O228" s="33" t="str">
        <f>VLOOKUP(N228,Reference!A:B,2,)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29" spans="1:15">
      <c r="A229" s="9">
        <v>228</v>
      </c>
      <c r="B229" s="27" t="s">
        <v>116</v>
      </c>
      <c r="C229" s="14">
        <v>29.1</v>
      </c>
      <c r="D229" s="14">
        <v>12.6</v>
      </c>
      <c r="E229" s="14">
        <v>18.2</v>
      </c>
      <c r="F229" s="14">
        <v>0.55000000000000004</v>
      </c>
      <c r="G229" s="14" t="s">
        <v>2</v>
      </c>
      <c r="H229" s="14" t="s">
        <v>17</v>
      </c>
      <c r="I229" s="14" t="s">
        <v>98</v>
      </c>
      <c r="J229" s="18" t="s">
        <v>58</v>
      </c>
      <c r="K229" s="18">
        <v>100</v>
      </c>
      <c r="L229" s="14">
        <v>1</v>
      </c>
      <c r="M229" s="14">
        <v>54</v>
      </c>
      <c r="N229" s="20" t="s">
        <v>109</v>
      </c>
      <c r="O229" s="33" t="str">
        <f>VLOOKUP(N229,Reference!A:B,2,)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0" spans="1:15">
      <c r="A230" s="9">
        <v>229</v>
      </c>
      <c r="B230" s="27" t="s">
        <v>116</v>
      </c>
      <c r="C230" s="14">
        <v>29.1</v>
      </c>
      <c r="D230" s="14">
        <v>12.6</v>
      </c>
      <c r="E230" s="14">
        <v>18.2</v>
      </c>
      <c r="F230" s="14">
        <v>0.55000000000000004</v>
      </c>
      <c r="G230" s="14" t="s">
        <v>2</v>
      </c>
      <c r="H230" s="14" t="s">
        <v>17</v>
      </c>
      <c r="I230" s="14" t="s">
        <v>73</v>
      </c>
      <c r="J230" s="18" t="s">
        <v>58</v>
      </c>
      <c r="K230" s="18">
        <v>110</v>
      </c>
      <c r="L230" s="14">
        <v>1</v>
      </c>
      <c r="M230" s="14">
        <v>59.9</v>
      </c>
      <c r="N230" s="20" t="s">
        <v>109</v>
      </c>
      <c r="O230" s="33" t="str">
        <f>VLOOKUP(N230,Reference!A:B,2,)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1" spans="1:15">
      <c r="A231" s="9">
        <v>230</v>
      </c>
      <c r="B231" s="27" t="s">
        <v>116</v>
      </c>
      <c r="C231" s="14">
        <v>29.1</v>
      </c>
      <c r="D231" s="14">
        <v>12.6</v>
      </c>
      <c r="E231" s="14">
        <v>18.2</v>
      </c>
      <c r="F231" s="14">
        <v>0.55000000000000004</v>
      </c>
      <c r="G231" s="14" t="s">
        <v>2</v>
      </c>
      <c r="H231" s="14" t="s">
        <v>17</v>
      </c>
      <c r="I231" s="14" t="s">
        <v>75</v>
      </c>
      <c r="J231" s="18" t="s">
        <v>58</v>
      </c>
      <c r="K231" s="18">
        <v>110</v>
      </c>
      <c r="L231" s="14">
        <v>1</v>
      </c>
      <c r="M231" s="14">
        <v>52.4</v>
      </c>
      <c r="N231" s="20" t="s">
        <v>109</v>
      </c>
      <c r="O231" s="33" t="str">
        <f>VLOOKUP(N231,Reference!A:B,2,)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2" spans="1:15">
      <c r="A232" s="9">
        <v>231</v>
      </c>
      <c r="B232" s="27" t="s">
        <v>116</v>
      </c>
      <c r="C232" s="14">
        <v>29.1</v>
      </c>
      <c r="D232" s="14">
        <v>12.6</v>
      </c>
      <c r="E232" s="14">
        <v>18.2</v>
      </c>
      <c r="F232" s="14">
        <v>0.55000000000000004</v>
      </c>
      <c r="G232" s="14" t="s">
        <v>2</v>
      </c>
      <c r="H232" s="14" t="s">
        <v>17</v>
      </c>
      <c r="I232" s="14" t="s">
        <v>65</v>
      </c>
      <c r="J232" s="18" t="s">
        <v>58</v>
      </c>
      <c r="K232" s="18">
        <v>110</v>
      </c>
      <c r="L232" s="14">
        <v>1</v>
      </c>
      <c r="M232" s="14">
        <v>60.1</v>
      </c>
      <c r="N232" s="20" t="s">
        <v>109</v>
      </c>
      <c r="O232" s="33" t="str">
        <f>VLOOKUP(N232,Reference!A:B,2,)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3" spans="1:15">
      <c r="A233" s="9">
        <v>232</v>
      </c>
      <c r="B233" s="27" t="s">
        <v>116</v>
      </c>
      <c r="C233" s="14">
        <v>29.1</v>
      </c>
      <c r="D233" s="14">
        <v>12.6</v>
      </c>
      <c r="E233" s="14">
        <v>18.2</v>
      </c>
      <c r="F233" s="14">
        <v>0.55000000000000004</v>
      </c>
      <c r="G233" s="14" t="s">
        <v>2</v>
      </c>
      <c r="H233" s="14" t="s">
        <v>17</v>
      </c>
      <c r="I233" s="14" t="s">
        <v>59</v>
      </c>
      <c r="J233" s="18" t="s">
        <v>58</v>
      </c>
      <c r="K233" s="18">
        <v>110</v>
      </c>
      <c r="L233" s="14">
        <v>1</v>
      </c>
      <c r="M233" s="14">
        <v>72.3</v>
      </c>
      <c r="N233" s="20" t="s">
        <v>109</v>
      </c>
      <c r="O233" s="33" t="str">
        <f>VLOOKUP(N233,Reference!A:B,2,)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4" spans="1:15">
      <c r="A234" s="9">
        <v>233</v>
      </c>
      <c r="B234" s="27" t="s">
        <v>116</v>
      </c>
      <c r="C234" s="14">
        <v>29.1</v>
      </c>
      <c r="D234" s="14">
        <v>12.6</v>
      </c>
      <c r="E234" s="14">
        <v>18.2</v>
      </c>
      <c r="F234" s="14">
        <v>0.55000000000000004</v>
      </c>
      <c r="G234" s="14" t="s">
        <v>2</v>
      </c>
      <c r="H234" s="14" t="s">
        <v>17</v>
      </c>
      <c r="I234" s="14" t="s">
        <v>98</v>
      </c>
      <c r="J234" s="18" t="s">
        <v>58</v>
      </c>
      <c r="K234" s="18">
        <v>110</v>
      </c>
      <c r="L234" s="14">
        <v>1</v>
      </c>
      <c r="M234" s="14">
        <v>60</v>
      </c>
      <c r="N234" s="20" t="s">
        <v>109</v>
      </c>
      <c r="O234" s="33" t="str">
        <f>VLOOKUP(N234,Reference!A:B,2,)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5" spans="1:15">
      <c r="A235" s="9">
        <v>234</v>
      </c>
      <c r="B235" s="27" t="s">
        <v>116</v>
      </c>
      <c r="C235" s="14">
        <v>29.1</v>
      </c>
      <c r="D235" s="14">
        <v>12.6</v>
      </c>
      <c r="E235" s="14">
        <v>18.2</v>
      </c>
      <c r="F235" s="14">
        <v>0.55000000000000004</v>
      </c>
      <c r="G235" s="14" t="s">
        <v>2</v>
      </c>
      <c r="H235" s="14" t="s">
        <v>17</v>
      </c>
      <c r="I235" s="14" t="s">
        <v>73</v>
      </c>
      <c r="J235" s="18" t="s">
        <v>58</v>
      </c>
      <c r="K235" s="18">
        <v>120</v>
      </c>
      <c r="L235" s="14">
        <v>1</v>
      </c>
      <c r="M235" s="14">
        <v>61.5</v>
      </c>
      <c r="N235" s="20" t="s">
        <v>109</v>
      </c>
      <c r="O235" s="33" t="str">
        <f>VLOOKUP(N235,Reference!A:B,2,)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6" spans="1:15">
      <c r="A236" s="9">
        <v>235</v>
      </c>
      <c r="B236" s="27" t="s">
        <v>116</v>
      </c>
      <c r="C236" s="14">
        <v>29.1</v>
      </c>
      <c r="D236" s="14">
        <v>12.6</v>
      </c>
      <c r="E236" s="14">
        <v>18.2</v>
      </c>
      <c r="F236" s="14">
        <v>0.55000000000000004</v>
      </c>
      <c r="G236" s="14" t="s">
        <v>2</v>
      </c>
      <c r="H236" s="14" t="s">
        <v>17</v>
      </c>
      <c r="I236" s="14" t="s">
        <v>75</v>
      </c>
      <c r="J236" s="18" t="s">
        <v>58</v>
      </c>
      <c r="K236" s="18">
        <v>120</v>
      </c>
      <c r="L236" s="14">
        <v>1</v>
      </c>
      <c r="M236" s="14">
        <v>61.3</v>
      </c>
      <c r="N236" s="20" t="s">
        <v>109</v>
      </c>
      <c r="O236" s="33" t="str">
        <f>VLOOKUP(N236,Reference!A:B,2,)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7" spans="1:15">
      <c r="A237" s="9">
        <v>236</v>
      </c>
      <c r="B237" s="27" t="s">
        <v>116</v>
      </c>
      <c r="C237" s="14">
        <v>29.1</v>
      </c>
      <c r="D237" s="14">
        <v>12.6</v>
      </c>
      <c r="E237" s="14">
        <v>18.2</v>
      </c>
      <c r="F237" s="14">
        <v>0.55000000000000004</v>
      </c>
      <c r="G237" s="14" t="s">
        <v>2</v>
      </c>
      <c r="H237" s="14" t="s">
        <v>17</v>
      </c>
      <c r="I237" s="14" t="s">
        <v>65</v>
      </c>
      <c r="J237" s="18" t="s">
        <v>58</v>
      </c>
      <c r="K237" s="18">
        <v>120</v>
      </c>
      <c r="L237" s="14">
        <v>1</v>
      </c>
      <c r="M237" s="14">
        <v>75.2</v>
      </c>
      <c r="N237" s="20" t="s">
        <v>109</v>
      </c>
      <c r="O237" s="33" t="str">
        <f>VLOOKUP(N237,Reference!A:B,2,)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8" spans="1:15">
      <c r="A238" s="9">
        <v>237</v>
      </c>
      <c r="B238" s="27" t="s">
        <v>116</v>
      </c>
      <c r="C238" s="14">
        <v>29.1</v>
      </c>
      <c r="D238" s="14">
        <v>12.6</v>
      </c>
      <c r="E238" s="14">
        <v>18.2</v>
      </c>
      <c r="F238" s="14">
        <v>0.55000000000000004</v>
      </c>
      <c r="G238" s="14" t="s">
        <v>2</v>
      </c>
      <c r="H238" s="14" t="s">
        <v>17</v>
      </c>
      <c r="I238" s="14" t="s">
        <v>59</v>
      </c>
      <c r="J238" s="18" t="s">
        <v>58</v>
      </c>
      <c r="K238" s="18">
        <v>120</v>
      </c>
      <c r="L238" s="14">
        <v>1</v>
      </c>
      <c r="M238" s="14">
        <v>74.7</v>
      </c>
      <c r="N238" s="20" t="s">
        <v>109</v>
      </c>
      <c r="O238" s="33" t="str">
        <f>VLOOKUP(N238,Reference!A:B,2,)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39" spans="1:15">
      <c r="A239" s="9">
        <v>238</v>
      </c>
      <c r="B239" s="27" t="s">
        <v>116</v>
      </c>
      <c r="C239" s="14">
        <v>29.1</v>
      </c>
      <c r="D239" s="14">
        <v>12.6</v>
      </c>
      <c r="E239" s="14">
        <v>18.2</v>
      </c>
      <c r="F239" s="14">
        <v>0.55000000000000004</v>
      </c>
      <c r="G239" s="14" t="s">
        <v>2</v>
      </c>
      <c r="H239" s="14" t="s">
        <v>17</v>
      </c>
      <c r="I239" s="14" t="s">
        <v>98</v>
      </c>
      <c r="J239" s="18" t="s">
        <v>58</v>
      </c>
      <c r="K239" s="18">
        <v>120</v>
      </c>
      <c r="L239" s="14">
        <v>1</v>
      </c>
      <c r="M239" s="14">
        <v>58.1</v>
      </c>
      <c r="N239" s="20" t="s">
        <v>109</v>
      </c>
      <c r="O239" s="33" t="str">
        <f>VLOOKUP(N239,Reference!A:B,2,)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0" spans="1:15">
      <c r="A240" s="9">
        <v>239</v>
      </c>
      <c r="B240" s="27" t="s">
        <v>116</v>
      </c>
      <c r="C240" s="14">
        <v>29.1</v>
      </c>
      <c r="D240" s="14">
        <v>12.6</v>
      </c>
      <c r="E240" s="14">
        <v>18.2</v>
      </c>
      <c r="F240" s="14">
        <v>0.55000000000000004</v>
      </c>
      <c r="G240" s="14" t="s">
        <v>2</v>
      </c>
      <c r="H240" s="14" t="s">
        <v>17</v>
      </c>
      <c r="I240" s="14" t="s">
        <v>73</v>
      </c>
      <c r="J240" s="18" t="s">
        <v>58</v>
      </c>
      <c r="K240" s="18">
        <v>130</v>
      </c>
      <c r="L240" s="14">
        <v>1</v>
      </c>
      <c r="M240" s="14">
        <v>83.6</v>
      </c>
      <c r="N240" s="20" t="s">
        <v>109</v>
      </c>
      <c r="O240" s="33" t="str">
        <f>VLOOKUP(N240,Reference!A:B,2,)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1" spans="1:15">
      <c r="A241" s="9">
        <v>240</v>
      </c>
      <c r="B241" s="27" t="s">
        <v>116</v>
      </c>
      <c r="C241" s="14">
        <v>29.1</v>
      </c>
      <c r="D241" s="14">
        <v>12.6</v>
      </c>
      <c r="E241" s="14">
        <v>18.2</v>
      </c>
      <c r="F241" s="14">
        <v>0.55000000000000004</v>
      </c>
      <c r="G241" s="14" t="s">
        <v>2</v>
      </c>
      <c r="H241" s="14" t="s">
        <v>17</v>
      </c>
      <c r="I241" s="14" t="s">
        <v>75</v>
      </c>
      <c r="J241" s="18" t="s">
        <v>58</v>
      </c>
      <c r="K241" s="18">
        <v>130</v>
      </c>
      <c r="L241" s="14">
        <v>1</v>
      </c>
      <c r="M241" s="14">
        <v>81.5</v>
      </c>
      <c r="N241" s="20" t="s">
        <v>109</v>
      </c>
      <c r="O241" s="33" t="str">
        <f>VLOOKUP(N241,Reference!A:B,2,)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2" spans="1:15">
      <c r="A242" s="9">
        <v>241</v>
      </c>
      <c r="B242" s="27" t="s">
        <v>116</v>
      </c>
      <c r="C242" s="14">
        <v>29.1</v>
      </c>
      <c r="D242" s="14">
        <v>12.6</v>
      </c>
      <c r="E242" s="14">
        <v>18.2</v>
      </c>
      <c r="F242" s="14">
        <v>0.55000000000000004</v>
      </c>
      <c r="G242" s="14" t="s">
        <v>2</v>
      </c>
      <c r="H242" s="14" t="s">
        <v>17</v>
      </c>
      <c r="I242" s="14" t="s">
        <v>65</v>
      </c>
      <c r="J242" s="18" t="s">
        <v>58</v>
      </c>
      <c r="K242" s="18">
        <v>130</v>
      </c>
      <c r="L242" s="14">
        <v>1</v>
      </c>
      <c r="M242" s="14">
        <v>79.8</v>
      </c>
      <c r="N242" s="20" t="s">
        <v>109</v>
      </c>
      <c r="O242" s="33" t="str">
        <f>VLOOKUP(N242,Reference!A:B,2,)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3" spans="1:15">
      <c r="A243" s="9">
        <v>242</v>
      </c>
      <c r="B243" s="27" t="s">
        <v>116</v>
      </c>
      <c r="C243" s="14">
        <v>29.1</v>
      </c>
      <c r="D243" s="14">
        <v>12.6</v>
      </c>
      <c r="E243" s="14">
        <v>18.2</v>
      </c>
      <c r="F243" s="14">
        <v>0.55000000000000004</v>
      </c>
      <c r="G243" s="14" t="s">
        <v>2</v>
      </c>
      <c r="H243" s="14" t="s">
        <v>17</v>
      </c>
      <c r="I243" s="14" t="s">
        <v>59</v>
      </c>
      <c r="J243" s="18" t="s">
        <v>58</v>
      </c>
      <c r="K243" s="18">
        <v>130</v>
      </c>
      <c r="L243" s="14">
        <v>1</v>
      </c>
      <c r="M243" s="14">
        <v>73.8</v>
      </c>
      <c r="N243" s="20" t="s">
        <v>109</v>
      </c>
      <c r="O243" s="33" t="str">
        <f>VLOOKUP(N243,Reference!A:B,2,)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4" spans="1:15">
      <c r="A244" s="9">
        <v>243</v>
      </c>
      <c r="B244" s="27" t="s">
        <v>116</v>
      </c>
      <c r="C244" s="14">
        <v>29.1</v>
      </c>
      <c r="D244" s="14">
        <v>12.6</v>
      </c>
      <c r="E244" s="14">
        <v>18.2</v>
      </c>
      <c r="F244" s="14">
        <v>0.55000000000000004</v>
      </c>
      <c r="G244" s="14" t="s">
        <v>2</v>
      </c>
      <c r="H244" s="14" t="s">
        <v>17</v>
      </c>
      <c r="I244" s="14" t="s">
        <v>98</v>
      </c>
      <c r="J244" s="18" t="s">
        <v>58</v>
      </c>
      <c r="K244" s="18">
        <v>130</v>
      </c>
      <c r="L244" s="14">
        <v>1</v>
      </c>
      <c r="M244" s="14">
        <v>60.6</v>
      </c>
      <c r="N244" s="20" t="s">
        <v>109</v>
      </c>
      <c r="O244" s="33" t="str">
        <f>VLOOKUP(N244,Reference!A:B,2,)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5" spans="1:15">
      <c r="A245" s="9">
        <v>244</v>
      </c>
      <c r="B245" s="27" t="s">
        <v>116</v>
      </c>
      <c r="C245" s="14">
        <v>29.1</v>
      </c>
      <c r="D245" s="14">
        <v>12.6</v>
      </c>
      <c r="E245" s="14">
        <v>18.2</v>
      </c>
      <c r="F245" s="14">
        <v>0.55000000000000004</v>
      </c>
      <c r="G245" s="14" t="s">
        <v>2</v>
      </c>
      <c r="H245" s="14" t="s">
        <v>17</v>
      </c>
      <c r="I245" s="14" t="s">
        <v>73</v>
      </c>
      <c r="J245" s="18" t="s">
        <v>58</v>
      </c>
      <c r="K245" s="18">
        <v>140</v>
      </c>
      <c r="L245" s="14">
        <v>1</v>
      </c>
      <c r="M245" s="14">
        <v>79.8</v>
      </c>
      <c r="N245" s="20" t="s">
        <v>109</v>
      </c>
      <c r="O245" s="33" t="str">
        <f>VLOOKUP(N245,Reference!A:B,2,)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6" spans="1:15">
      <c r="A246" s="9">
        <v>245</v>
      </c>
      <c r="B246" s="27" t="s">
        <v>116</v>
      </c>
      <c r="C246" s="14">
        <v>29.1</v>
      </c>
      <c r="D246" s="14">
        <v>12.6</v>
      </c>
      <c r="E246" s="14">
        <v>18.2</v>
      </c>
      <c r="F246" s="14">
        <v>0.55000000000000004</v>
      </c>
      <c r="G246" s="14" t="s">
        <v>2</v>
      </c>
      <c r="H246" s="14" t="s">
        <v>17</v>
      </c>
      <c r="I246" s="14" t="s">
        <v>75</v>
      </c>
      <c r="J246" s="18" t="s">
        <v>58</v>
      </c>
      <c r="K246" s="18">
        <v>140</v>
      </c>
      <c r="L246" s="14">
        <v>1</v>
      </c>
      <c r="M246" s="14">
        <v>86.5</v>
      </c>
      <c r="N246" s="20" t="s">
        <v>109</v>
      </c>
      <c r="O246" s="33" t="str">
        <f>VLOOKUP(N246,Reference!A:B,2,)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7" spans="1:15">
      <c r="A247" s="9">
        <v>246</v>
      </c>
      <c r="B247" s="27" t="s">
        <v>116</v>
      </c>
      <c r="C247" s="14">
        <v>29.1</v>
      </c>
      <c r="D247" s="14">
        <v>12.6</v>
      </c>
      <c r="E247" s="14">
        <v>18.2</v>
      </c>
      <c r="F247" s="14">
        <v>0.55000000000000004</v>
      </c>
      <c r="G247" s="14" t="s">
        <v>2</v>
      </c>
      <c r="H247" s="14" t="s">
        <v>17</v>
      </c>
      <c r="I247" s="14" t="s">
        <v>65</v>
      </c>
      <c r="J247" s="18" t="s">
        <v>58</v>
      </c>
      <c r="K247" s="18">
        <v>140</v>
      </c>
      <c r="L247" s="14">
        <v>1</v>
      </c>
      <c r="M247" s="14">
        <v>76.099999999999994</v>
      </c>
      <c r="N247" s="20" t="s">
        <v>109</v>
      </c>
      <c r="O247" s="33" t="str">
        <f>VLOOKUP(N247,Reference!A:B,2,)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8" spans="1:15">
      <c r="A248" s="9">
        <v>247</v>
      </c>
      <c r="B248" s="27" t="s">
        <v>116</v>
      </c>
      <c r="C248" s="14">
        <v>29.1</v>
      </c>
      <c r="D248" s="14">
        <v>12.6</v>
      </c>
      <c r="E248" s="14">
        <v>18.2</v>
      </c>
      <c r="F248" s="14">
        <v>0.55000000000000004</v>
      </c>
      <c r="G248" s="14" t="s">
        <v>2</v>
      </c>
      <c r="H248" s="14" t="s">
        <v>17</v>
      </c>
      <c r="I248" s="14" t="s">
        <v>59</v>
      </c>
      <c r="J248" s="18" t="s">
        <v>58</v>
      </c>
      <c r="K248" s="18">
        <v>140</v>
      </c>
      <c r="L248" s="14">
        <v>1</v>
      </c>
      <c r="M248" s="14">
        <v>69.599999999999994</v>
      </c>
      <c r="N248" s="20" t="s">
        <v>109</v>
      </c>
      <c r="O248" s="33" t="str">
        <f>VLOOKUP(N248,Reference!A:B,2,)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49" spans="1:15">
      <c r="A249" s="9">
        <v>248</v>
      </c>
      <c r="B249" s="27" t="s">
        <v>116</v>
      </c>
      <c r="C249" s="14">
        <v>29.1</v>
      </c>
      <c r="D249" s="14">
        <v>12.6</v>
      </c>
      <c r="E249" s="14">
        <v>18.2</v>
      </c>
      <c r="F249" s="14">
        <v>0.55000000000000004</v>
      </c>
      <c r="G249" s="14" t="s">
        <v>2</v>
      </c>
      <c r="H249" s="14" t="s">
        <v>17</v>
      </c>
      <c r="I249" s="14" t="s">
        <v>98</v>
      </c>
      <c r="J249" s="18" t="s">
        <v>58</v>
      </c>
      <c r="K249" s="18">
        <v>140</v>
      </c>
      <c r="L249" s="14">
        <v>1</v>
      </c>
      <c r="M249" s="14">
        <v>64.3</v>
      </c>
      <c r="N249" s="20" t="s">
        <v>109</v>
      </c>
      <c r="O249" s="33" t="str">
        <f>VLOOKUP(N249,Reference!A:B,2,)</f>
        <v>Li, X.; Tang, W.; He, Y.-C. Integrated understanding of acidic deep eutectic solvent choline chloride: Oxalic acid pretreatment to enhance the enzymatic hydrolysis of rape straw. Industrial Crops and Products 2023, 206, 117691. DOI: https://doi.org/10.1016/j.indcrop.2023.117691.</v>
      </c>
    </row>
    <row r="250" spans="1:15">
      <c r="A250" s="9">
        <v>249</v>
      </c>
      <c r="B250" s="27" t="s">
        <v>116</v>
      </c>
      <c r="C250" s="14">
        <v>43.2</v>
      </c>
      <c r="D250" s="14">
        <v>22.46</v>
      </c>
      <c r="E250" s="14">
        <v>21.53</v>
      </c>
      <c r="F250" s="14">
        <v>0.9</v>
      </c>
      <c r="G250" s="14" t="s">
        <v>2</v>
      </c>
      <c r="H250" s="14" t="s">
        <v>39</v>
      </c>
      <c r="I250" s="18" t="s">
        <v>59</v>
      </c>
      <c r="J250" s="23">
        <v>0.15277777777777801</v>
      </c>
      <c r="K250" s="14">
        <v>120</v>
      </c>
      <c r="L250" s="14">
        <v>1</v>
      </c>
      <c r="M250" s="13">
        <v>61.54</v>
      </c>
      <c r="N250" s="20" t="s">
        <v>111</v>
      </c>
      <c r="O250" s="33" t="str">
        <f>VLOOKUP(N250,Reference!A:B,2,)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1" spans="1:15">
      <c r="A251" s="9">
        <v>250</v>
      </c>
      <c r="B251" s="27" t="s">
        <v>116</v>
      </c>
      <c r="C251" s="14">
        <v>43.2</v>
      </c>
      <c r="D251" s="14">
        <v>22.46</v>
      </c>
      <c r="E251" s="14">
        <v>21.53</v>
      </c>
      <c r="F251" s="14">
        <v>0.9</v>
      </c>
      <c r="G251" s="14" t="s">
        <v>2</v>
      </c>
      <c r="H251" s="14" t="s">
        <v>39</v>
      </c>
      <c r="I251" s="18" t="s">
        <v>59</v>
      </c>
      <c r="J251" s="23">
        <v>0.15277777777777801</v>
      </c>
      <c r="K251" s="14">
        <v>130</v>
      </c>
      <c r="L251" s="14">
        <v>1</v>
      </c>
      <c r="M251" s="13">
        <v>79.930000000000007</v>
      </c>
      <c r="N251" s="20" t="s">
        <v>111</v>
      </c>
      <c r="O251" s="33" t="str">
        <f>VLOOKUP(N251,Reference!A:B,2,)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2" spans="1:15">
      <c r="A252" s="9">
        <v>251</v>
      </c>
      <c r="B252" s="27" t="s">
        <v>116</v>
      </c>
      <c r="C252" s="14">
        <v>43.2</v>
      </c>
      <c r="D252" s="14">
        <v>22.46</v>
      </c>
      <c r="E252" s="14">
        <v>21.53</v>
      </c>
      <c r="F252" s="14">
        <v>0.9</v>
      </c>
      <c r="G252" s="14" t="s">
        <v>2</v>
      </c>
      <c r="H252" s="14" t="s">
        <v>39</v>
      </c>
      <c r="I252" s="18" t="s">
        <v>59</v>
      </c>
      <c r="J252" s="23">
        <v>0.15277777777777801</v>
      </c>
      <c r="K252" s="14">
        <v>140</v>
      </c>
      <c r="L252" s="14">
        <v>1</v>
      </c>
      <c r="M252" s="13">
        <v>93.08</v>
      </c>
      <c r="N252" s="20" t="s">
        <v>111</v>
      </c>
      <c r="O252" s="33" t="str">
        <f>VLOOKUP(N252,Reference!A:B,2,)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3" spans="1:15">
      <c r="A253" s="9">
        <v>252</v>
      </c>
      <c r="B253" s="27" t="s">
        <v>116</v>
      </c>
      <c r="C253" s="14">
        <v>43.2</v>
      </c>
      <c r="D253" s="14">
        <v>22.46</v>
      </c>
      <c r="E253" s="14">
        <v>21.53</v>
      </c>
      <c r="F253" s="14">
        <v>0.9</v>
      </c>
      <c r="G253" s="14" t="s">
        <v>2</v>
      </c>
      <c r="H253" s="14" t="s">
        <v>39</v>
      </c>
      <c r="I253" s="14" t="s">
        <v>98</v>
      </c>
      <c r="J253" s="23">
        <v>0.15277777777777801</v>
      </c>
      <c r="K253" s="14">
        <v>130</v>
      </c>
      <c r="L253" s="14">
        <v>1</v>
      </c>
      <c r="M253" s="13">
        <v>90.57</v>
      </c>
      <c r="N253" s="20" t="s">
        <v>111</v>
      </c>
      <c r="O253" s="33" t="str">
        <f>VLOOKUP(N253,Reference!A:B,2,)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4" spans="1:15">
      <c r="A254" s="9">
        <v>253</v>
      </c>
      <c r="B254" s="27" t="s">
        <v>116</v>
      </c>
      <c r="C254" s="14">
        <v>43.2</v>
      </c>
      <c r="D254" s="14">
        <v>22.46</v>
      </c>
      <c r="E254" s="14">
        <v>21.53</v>
      </c>
      <c r="F254" s="14">
        <v>0.9</v>
      </c>
      <c r="G254" s="14" t="s">
        <v>2</v>
      </c>
      <c r="H254" s="14" t="s">
        <v>39</v>
      </c>
      <c r="I254" s="18" t="s">
        <v>80</v>
      </c>
      <c r="J254" s="23">
        <v>0.15277777777777801</v>
      </c>
      <c r="K254" s="14">
        <v>130</v>
      </c>
      <c r="L254" s="14">
        <v>1</v>
      </c>
      <c r="M254" s="13">
        <v>93.92</v>
      </c>
      <c r="N254" s="20" t="s">
        <v>111</v>
      </c>
      <c r="O254" s="33" t="str">
        <f>VLOOKUP(N254,Reference!A:B,2,)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5" spans="1:15">
      <c r="A255" s="9">
        <v>254</v>
      </c>
      <c r="B255" s="27" t="s">
        <v>116</v>
      </c>
      <c r="C255" s="14">
        <v>43.2</v>
      </c>
      <c r="D255" s="14">
        <v>22.46</v>
      </c>
      <c r="E255" s="14">
        <v>21.53</v>
      </c>
      <c r="F255" s="14">
        <v>0.9</v>
      </c>
      <c r="G255" s="14" t="s">
        <v>2</v>
      </c>
      <c r="H255" s="14" t="s">
        <v>39</v>
      </c>
      <c r="I255" s="18" t="s">
        <v>64</v>
      </c>
      <c r="J255" s="23">
        <v>0.15277777777777801</v>
      </c>
      <c r="K255" s="14">
        <v>130</v>
      </c>
      <c r="L255" s="14">
        <v>1</v>
      </c>
      <c r="M255" s="13">
        <v>95.54</v>
      </c>
      <c r="N255" s="20" t="s">
        <v>111</v>
      </c>
      <c r="O255" s="33" t="str">
        <f>VLOOKUP(N255,Reference!A:B,2,)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6" spans="1:15">
      <c r="A256" s="9">
        <v>255</v>
      </c>
      <c r="B256" s="27" t="s">
        <v>116</v>
      </c>
      <c r="C256" s="14">
        <v>43.2</v>
      </c>
      <c r="D256" s="14">
        <v>22.46</v>
      </c>
      <c r="E256" s="14">
        <v>21.53</v>
      </c>
      <c r="F256" s="14">
        <v>0.9</v>
      </c>
      <c r="G256" s="14" t="s">
        <v>2</v>
      </c>
      <c r="H256" s="14" t="s">
        <v>39</v>
      </c>
      <c r="I256" s="18" t="s">
        <v>80</v>
      </c>
      <c r="J256" s="23">
        <v>0.15277777777777801</v>
      </c>
      <c r="K256" s="14">
        <v>130</v>
      </c>
      <c r="L256" s="14">
        <v>0.5</v>
      </c>
      <c r="M256" s="13">
        <v>90.01</v>
      </c>
      <c r="N256" s="20" t="s">
        <v>111</v>
      </c>
      <c r="O256" s="33" t="str">
        <f>VLOOKUP(N256,Reference!A:B,2,)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7" spans="1:15">
      <c r="A257" s="9">
        <v>256</v>
      </c>
      <c r="B257" s="27" t="s">
        <v>116</v>
      </c>
      <c r="C257" s="14">
        <v>43.2</v>
      </c>
      <c r="D257" s="14">
        <v>22.46</v>
      </c>
      <c r="E257" s="14">
        <v>21.53</v>
      </c>
      <c r="F257" s="14">
        <v>0.9</v>
      </c>
      <c r="G257" s="14" t="s">
        <v>2</v>
      </c>
      <c r="H257" s="14" t="s">
        <v>39</v>
      </c>
      <c r="I257" s="18" t="s">
        <v>80</v>
      </c>
      <c r="J257" s="23">
        <v>0.15277777777777801</v>
      </c>
      <c r="K257" s="14">
        <v>130</v>
      </c>
      <c r="L257" s="14">
        <v>1.5</v>
      </c>
      <c r="M257" s="13">
        <v>96.1</v>
      </c>
      <c r="N257" s="20" t="s">
        <v>111</v>
      </c>
      <c r="O257" s="33" t="str">
        <f>VLOOKUP(N257,Reference!A:B,2,)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8" spans="1:15">
      <c r="A258" s="9">
        <v>257</v>
      </c>
      <c r="B258" s="27" t="s">
        <v>116</v>
      </c>
      <c r="C258" s="14">
        <v>43.2</v>
      </c>
      <c r="D258" s="14">
        <v>22.46</v>
      </c>
      <c r="E258" s="14">
        <v>21.53</v>
      </c>
      <c r="F258" s="14">
        <v>0.9</v>
      </c>
      <c r="G258" s="14" t="s">
        <v>2</v>
      </c>
      <c r="H258" s="14" t="s">
        <v>39</v>
      </c>
      <c r="I258" s="18" t="s">
        <v>80</v>
      </c>
      <c r="J258" s="23">
        <v>0.15277777777777801</v>
      </c>
      <c r="K258" s="14">
        <v>130</v>
      </c>
      <c r="L258" s="14">
        <v>2</v>
      </c>
      <c r="M258" s="13">
        <v>98.1</v>
      </c>
      <c r="N258" s="20" t="s">
        <v>111</v>
      </c>
      <c r="O258" s="33" t="str">
        <f>VLOOKUP(N258,Reference!A:B,2,)</f>
        <v>Zhang, Z.; Lv, P.; Ji, H.; Ji, X.; Tian, Z.; Chen, J. Functional deep eutectic solvent for lignocellulose valorization via lignin stabilization and cellulose functionalization. Green Chemistry 2024, 26 (6), 3453-3465, 10.1039/D3GC04749K. DOI: 10.1039/D3GC04749K.</v>
      </c>
    </row>
    <row r="259" spans="1:15">
      <c r="A259" s="9">
        <v>258</v>
      </c>
      <c r="B259" s="10" t="s">
        <v>117</v>
      </c>
      <c r="C259" s="13">
        <v>30.8</v>
      </c>
      <c r="D259" s="13">
        <v>12.4</v>
      </c>
      <c r="E259" s="13">
        <v>15.1</v>
      </c>
      <c r="F259" s="13">
        <v>0.38</v>
      </c>
      <c r="G259" s="14" t="s">
        <v>2</v>
      </c>
      <c r="H259" s="14" t="s">
        <v>38</v>
      </c>
      <c r="I259" s="18" t="s">
        <v>65</v>
      </c>
      <c r="J259" s="23">
        <v>4.8611111111111098E-2</v>
      </c>
      <c r="K259" s="14">
        <v>160</v>
      </c>
      <c r="L259" s="14">
        <v>0.16669999999999999</v>
      </c>
      <c r="M259" s="13">
        <v>21.15</v>
      </c>
      <c r="N259" s="20" t="s">
        <v>112</v>
      </c>
      <c r="O259" s="33" t="str">
        <f>VLOOKUP(N259,Reference!A:B,2,)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0" spans="1:15">
      <c r="A260" s="9">
        <v>259</v>
      </c>
      <c r="B260" s="10" t="s">
        <v>117</v>
      </c>
      <c r="C260" s="13">
        <v>30.8</v>
      </c>
      <c r="D260" s="13">
        <v>12.4</v>
      </c>
      <c r="E260" s="13">
        <v>15.1</v>
      </c>
      <c r="F260" s="13">
        <v>0.38</v>
      </c>
      <c r="G260" s="14" t="s">
        <v>2</v>
      </c>
      <c r="H260" s="14" t="s">
        <v>17</v>
      </c>
      <c r="I260" s="18" t="s">
        <v>59</v>
      </c>
      <c r="J260" s="23">
        <v>4.8611111111111098E-2</v>
      </c>
      <c r="K260" s="14">
        <v>160</v>
      </c>
      <c r="L260" s="14">
        <v>0.16669999999999999</v>
      </c>
      <c r="M260" s="13">
        <v>44.73</v>
      </c>
      <c r="N260" s="20" t="s">
        <v>112</v>
      </c>
      <c r="O260" s="33" t="str">
        <f>VLOOKUP(N260,Reference!A:B,2,)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1" spans="1:15">
      <c r="A261" s="9">
        <v>260</v>
      </c>
      <c r="B261" s="10" t="s">
        <v>117</v>
      </c>
      <c r="C261" s="13">
        <v>30.8</v>
      </c>
      <c r="D261" s="13">
        <v>12.4</v>
      </c>
      <c r="E261" s="13">
        <v>15.1</v>
      </c>
      <c r="F261" s="13">
        <v>0.38</v>
      </c>
      <c r="G261" s="14" t="s">
        <v>2</v>
      </c>
      <c r="H261" s="14" t="s">
        <v>14</v>
      </c>
      <c r="I261" s="18" t="s">
        <v>59</v>
      </c>
      <c r="J261" s="14" t="s">
        <v>58</v>
      </c>
      <c r="K261" s="14">
        <v>160</v>
      </c>
      <c r="L261" s="14">
        <v>0.16669999999999999</v>
      </c>
      <c r="M261" s="13">
        <v>13.81</v>
      </c>
      <c r="N261" s="20" t="s">
        <v>112</v>
      </c>
      <c r="O261" s="33" t="str">
        <f>VLOOKUP(N261,Reference!A:B,2,)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2" spans="1:15">
      <c r="A262" s="9">
        <v>261</v>
      </c>
      <c r="B262" s="10" t="s">
        <v>117</v>
      </c>
      <c r="C262" s="13">
        <v>30.8</v>
      </c>
      <c r="D262" s="13">
        <v>12.4</v>
      </c>
      <c r="E262" s="13">
        <v>15.1</v>
      </c>
      <c r="F262" s="13">
        <v>0.38</v>
      </c>
      <c r="G262" s="14" t="s">
        <v>2</v>
      </c>
      <c r="H262" s="14" t="s">
        <v>40</v>
      </c>
      <c r="I262" s="18" t="s">
        <v>59</v>
      </c>
      <c r="J262" s="14" t="s">
        <v>58</v>
      </c>
      <c r="K262" s="14">
        <v>160</v>
      </c>
      <c r="L262" s="14">
        <v>0.16669999999999999</v>
      </c>
      <c r="M262" s="13">
        <v>11.9</v>
      </c>
      <c r="N262" s="20" t="s">
        <v>112</v>
      </c>
      <c r="O262" s="33" t="str">
        <f>VLOOKUP(N262,Reference!A:B,2,)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3" spans="1:15">
      <c r="A263" s="9">
        <v>262</v>
      </c>
      <c r="B263" s="10" t="s">
        <v>117</v>
      </c>
      <c r="C263" s="13">
        <v>30.8</v>
      </c>
      <c r="D263" s="13">
        <v>12.4</v>
      </c>
      <c r="E263" s="13">
        <v>15.1</v>
      </c>
      <c r="F263" s="13">
        <v>0.38</v>
      </c>
      <c r="G263" s="14" t="s">
        <v>2</v>
      </c>
      <c r="H263" s="14" t="s">
        <v>15</v>
      </c>
      <c r="I263" s="18" t="s">
        <v>59</v>
      </c>
      <c r="J263" s="14" t="s">
        <v>58</v>
      </c>
      <c r="K263" s="14">
        <v>160</v>
      </c>
      <c r="L263" s="14">
        <v>0.16669999999999999</v>
      </c>
      <c r="M263" s="13">
        <v>16.53</v>
      </c>
      <c r="N263" s="20" t="s">
        <v>112</v>
      </c>
      <c r="O263" s="33" t="str">
        <f>VLOOKUP(N263,Reference!A:B,2,)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4" spans="1:15">
      <c r="A264" s="9">
        <v>263</v>
      </c>
      <c r="B264" s="10" t="s">
        <v>117</v>
      </c>
      <c r="C264" s="13">
        <v>30.8</v>
      </c>
      <c r="D264" s="13">
        <v>12.4</v>
      </c>
      <c r="E264" s="13">
        <v>15.1</v>
      </c>
      <c r="F264" s="13">
        <v>0.38</v>
      </c>
      <c r="G264" s="14" t="s">
        <v>2</v>
      </c>
      <c r="H264" s="14" t="s">
        <v>41</v>
      </c>
      <c r="I264" s="18" t="s">
        <v>59</v>
      </c>
      <c r="J264" s="14" t="s">
        <v>58</v>
      </c>
      <c r="K264" s="14">
        <v>160</v>
      </c>
      <c r="L264" s="14">
        <v>0.16669999999999999</v>
      </c>
      <c r="M264" s="13">
        <v>16.07</v>
      </c>
      <c r="N264" s="20" t="s">
        <v>112</v>
      </c>
      <c r="O264" s="33" t="str">
        <f>VLOOKUP(N264,Reference!A:B,2,)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5" spans="1:15">
      <c r="A265" s="9">
        <v>264</v>
      </c>
      <c r="B265" s="10" t="s">
        <v>117</v>
      </c>
      <c r="C265" s="13">
        <v>30.8</v>
      </c>
      <c r="D265" s="13">
        <v>12.4</v>
      </c>
      <c r="E265" s="13">
        <v>15.1</v>
      </c>
      <c r="F265" s="13">
        <v>0.38</v>
      </c>
      <c r="G265" s="14" t="s">
        <v>2</v>
      </c>
      <c r="H265" s="14" t="s">
        <v>13</v>
      </c>
      <c r="I265" s="18" t="s">
        <v>59</v>
      </c>
      <c r="J265" s="14" t="s">
        <v>58</v>
      </c>
      <c r="K265" s="14">
        <v>160</v>
      </c>
      <c r="L265" s="14">
        <v>0.16669999999999999</v>
      </c>
      <c r="M265" s="13">
        <v>15.44</v>
      </c>
      <c r="N265" s="20" t="s">
        <v>112</v>
      </c>
      <c r="O265" s="33" t="str">
        <f>VLOOKUP(N265,Reference!A:B,2,)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6" spans="1:15">
      <c r="A266" s="9">
        <v>265</v>
      </c>
      <c r="B266" s="10" t="s">
        <v>117</v>
      </c>
      <c r="C266" s="13">
        <v>30.8</v>
      </c>
      <c r="D266" s="13">
        <v>12.4</v>
      </c>
      <c r="E266" s="13">
        <v>15.1</v>
      </c>
      <c r="F266" s="13">
        <v>0.38</v>
      </c>
      <c r="G266" s="14" t="s">
        <v>2</v>
      </c>
      <c r="H266" s="14" t="s">
        <v>17</v>
      </c>
      <c r="I266" s="18" t="s">
        <v>59</v>
      </c>
      <c r="J266" s="14" t="s">
        <v>58</v>
      </c>
      <c r="K266" s="14">
        <v>100</v>
      </c>
      <c r="L266" s="14">
        <v>0.16669999999999999</v>
      </c>
      <c r="M266" s="13">
        <v>28.25</v>
      </c>
      <c r="N266" s="20" t="s">
        <v>112</v>
      </c>
      <c r="O266" s="33" t="str">
        <f>VLOOKUP(N266,Reference!A:B,2,)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7" spans="1:15">
      <c r="A267" s="9">
        <v>266</v>
      </c>
      <c r="B267" s="10" t="s">
        <v>117</v>
      </c>
      <c r="C267" s="13">
        <v>30.8</v>
      </c>
      <c r="D267" s="13">
        <v>12.4</v>
      </c>
      <c r="E267" s="13">
        <v>15.1</v>
      </c>
      <c r="F267" s="13">
        <v>0.38</v>
      </c>
      <c r="G267" s="14" t="s">
        <v>2</v>
      </c>
      <c r="H267" s="14" t="s">
        <v>17</v>
      </c>
      <c r="I267" s="18" t="s">
        <v>59</v>
      </c>
      <c r="J267" s="14" t="s">
        <v>58</v>
      </c>
      <c r="K267" s="14">
        <v>120</v>
      </c>
      <c r="L267" s="14">
        <v>0.16669999999999999</v>
      </c>
      <c r="M267" s="13">
        <v>37.74</v>
      </c>
      <c r="N267" s="20" t="s">
        <v>112</v>
      </c>
      <c r="O267" s="33" t="str">
        <f>VLOOKUP(N267,Reference!A:B,2,)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8" spans="1:15">
      <c r="A268" s="9">
        <v>267</v>
      </c>
      <c r="B268" s="10" t="s">
        <v>117</v>
      </c>
      <c r="C268" s="13">
        <v>30.8</v>
      </c>
      <c r="D268" s="13">
        <v>12.4</v>
      </c>
      <c r="E268" s="13">
        <v>15.1</v>
      </c>
      <c r="F268" s="13">
        <v>0.38</v>
      </c>
      <c r="G268" s="14" t="s">
        <v>2</v>
      </c>
      <c r="H268" s="14" t="s">
        <v>17</v>
      </c>
      <c r="I268" s="18" t="s">
        <v>59</v>
      </c>
      <c r="J268" s="14" t="s">
        <v>58</v>
      </c>
      <c r="K268" s="14">
        <v>140</v>
      </c>
      <c r="L268" s="14">
        <v>0.16669999999999999</v>
      </c>
      <c r="M268" s="13">
        <v>39.67</v>
      </c>
      <c r="N268" s="20" t="s">
        <v>112</v>
      </c>
      <c r="O268" s="33" t="str">
        <f>VLOOKUP(N268,Reference!A:B,2,)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69" spans="1:15">
      <c r="A269" s="9">
        <v>268</v>
      </c>
      <c r="B269" s="10" t="s">
        <v>117</v>
      </c>
      <c r="C269" s="24">
        <v>30.8</v>
      </c>
      <c r="D269" s="24">
        <v>12.4</v>
      </c>
      <c r="E269" s="24">
        <v>15.1</v>
      </c>
      <c r="F269" s="24">
        <v>0.38</v>
      </c>
      <c r="G269" s="25" t="s">
        <v>2</v>
      </c>
      <c r="H269" s="25" t="s">
        <v>17</v>
      </c>
      <c r="I269" s="26" t="s">
        <v>59</v>
      </c>
      <c r="J269" s="25" t="s">
        <v>58</v>
      </c>
      <c r="K269" s="25">
        <v>160</v>
      </c>
      <c r="L269" s="25">
        <v>0.16669999999999999</v>
      </c>
      <c r="M269" s="24">
        <v>42.15</v>
      </c>
      <c r="N269" s="20" t="s">
        <v>112</v>
      </c>
      <c r="O269" s="33" t="str">
        <f>VLOOKUP(N269,Reference!A:B,2,)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0" spans="1:15">
      <c r="A270" s="9">
        <v>269</v>
      </c>
      <c r="B270" s="10" t="s">
        <v>117</v>
      </c>
      <c r="C270" s="13">
        <v>30.8</v>
      </c>
      <c r="D270" s="13">
        <v>12.4</v>
      </c>
      <c r="E270" s="13">
        <v>15.1</v>
      </c>
      <c r="F270" s="13">
        <v>0.38</v>
      </c>
      <c r="G270" s="14" t="s">
        <v>2</v>
      </c>
      <c r="H270" s="14" t="s">
        <v>17</v>
      </c>
      <c r="I270" s="18" t="s">
        <v>59</v>
      </c>
      <c r="J270" s="14" t="s">
        <v>58</v>
      </c>
      <c r="K270" s="14">
        <v>180</v>
      </c>
      <c r="L270" s="14">
        <v>0.16669999999999999</v>
      </c>
      <c r="M270" s="13">
        <v>43.73</v>
      </c>
      <c r="N270" s="20" t="s">
        <v>112</v>
      </c>
      <c r="O270" s="33" t="str">
        <f>VLOOKUP(N270,Reference!A:B,2,)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1" spans="1:15">
      <c r="A271" s="9">
        <v>270</v>
      </c>
      <c r="B271" s="10" t="s">
        <v>117</v>
      </c>
      <c r="C271" s="13">
        <v>30.8</v>
      </c>
      <c r="D271" s="13">
        <v>12.4</v>
      </c>
      <c r="E271" s="13">
        <v>15.1</v>
      </c>
      <c r="F271" s="13">
        <v>0.38</v>
      </c>
      <c r="G271" s="14" t="s">
        <v>2</v>
      </c>
      <c r="H271" s="14" t="s">
        <v>17</v>
      </c>
      <c r="I271" s="18" t="s">
        <v>59</v>
      </c>
      <c r="J271" s="14" t="s">
        <v>58</v>
      </c>
      <c r="K271" s="14">
        <v>160</v>
      </c>
      <c r="L271" s="14">
        <v>8.3299999999999999E-2</v>
      </c>
      <c r="M271" s="13">
        <v>4.79</v>
      </c>
      <c r="N271" s="20" t="s">
        <v>112</v>
      </c>
      <c r="O271" s="33" t="str">
        <f>VLOOKUP(N271,Reference!A:B,2,)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2" spans="1:15">
      <c r="A272" s="9">
        <v>271</v>
      </c>
      <c r="B272" s="10" t="s">
        <v>117</v>
      </c>
      <c r="C272" s="13">
        <v>30.8</v>
      </c>
      <c r="D272" s="13">
        <v>12.4</v>
      </c>
      <c r="E272" s="13">
        <v>15.1</v>
      </c>
      <c r="F272" s="13">
        <v>0.38</v>
      </c>
      <c r="G272" s="14" t="s">
        <v>2</v>
      </c>
      <c r="H272" s="14" t="s">
        <v>17</v>
      </c>
      <c r="I272" s="18" t="s">
        <v>59</v>
      </c>
      <c r="J272" s="14" t="s">
        <v>58</v>
      </c>
      <c r="K272" s="14">
        <v>160</v>
      </c>
      <c r="L272" s="14">
        <v>0.1333</v>
      </c>
      <c r="M272" s="13">
        <v>7.34</v>
      </c>
      <c r="N272" s="20" t="s">
        <v>112</v>
      </c>
      <c r="O272" s="33" t="str">
        <f>VLOOKUP(N272,Reference!A:B,2,)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3" spans="1:15">
      <c r="A273" s="9">
        <v>272</v>
      </c>
      <c r="B273" s="10" t="s">
        <v>117</v>
      </c>
      <c r="C273" s="13">
        <v>30.8</v>
      </c>
      <c r="D273" s="13">
        <v>12.4</v>
      </c>
      <c r="E273" s="13">
        <v>15.1</v>
      </c>
      <c r="F273" s="13">
        <v>0.38</v>
      </c>
      <c r="G273" s="14" t="s">
        <v>2</v>
      </c>
      <c r="H273" s="14" t="s">
        <v>17</v>
      </c>
      <c r="I273" s="18" t="s">
        <v>59</v>
      </c>
      <c r="J273" s="14" t="s">
        <v>58</v>
      </c>
      <c r="K273" s="14">
        <v>160</v>
      </c>
      <c r="L273" s="14">
        <v>0.16669999999999999</v>
      </c>
      <c r="M273" s="13">
        <v>46.14</v>
      </c>
      <c r="N273" s="20" t="s">
        <v>112</v>
      </c>
      <c r="O273" s="33" t="str">
        <f>VLOOKUP(N273,Reference!A:B,2,)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4" spans="1:15">
      <c r="A274" s="9">
        <v>273</v>
      </c>
      <c r="B274" s="10" t="s">
        <v>117</v>
      </c>
      <c r="C274" s="13">
        <v>30.8</v>
      </c>
      <c r="D274" s="13">
        <v>12.4</v>
      </c>
      <c r="E274" s="13">
        <v>15.1</v>
      </c>
      <c r="F274" s="13">
        <v>0.38</v>
      </c>
      <c r="G274" s="14" t="s">
        <v>2</v>
      </c>
      <c r="H274" s="14" t="s">
        <v>17</v>
      </c>
      <c r="I274" s="18" t="s">
        <v>59</v>
      </c>
      <c r="J274" s="14" t="s">
        <v>58</v>
      </c>
      <c r="K274" s="14">
        <v>160</v>
      </c>
      <c r="L274" s="14">
        <v>0.2</v>
      </c>
      <c r="M274" s="13">
        <v>54.18</v>
      </c>
      <c r="N274" s="20" t="s">
        <v>112</v>
      </c>
      <c r="O274" s="33" t="str">
        <f>VLOOKUP(N274,Reference!A:B,2,)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5" spans="1:15">
      <c r="A275" s="9">
        <v>274</v>
      </c>
      <c r="B275" s="10" t="s">
        <v>117</v>
      </c>
      <c r="C275" s="13">
        <v>30.8</v>
      </c>
      <c r="D275" s="13">
        <v>12.4</v>
      </c>
      <c r="E275" s="13">
        <v>15.1</v>
      </c>
      <c r="F275" s="13">
        <v>0.38</v>
      </c>
      <c r="G275" s="14" t="s">
        <v>2</v>
      </c>
      <c r="H275" s="14" t="s">
        <v>17</v>
      </c>
      <c r="I275" s="18" t="s">
        <v>59</v>
      </c>
      <c r="J275" s="18" t="s">
        <v>118</v>
      </c>
      <c r="K275" s="14">
        <v>160</v>
      </c>
      <c r="L275" s="14">
        <v>0.2</v>
      </c>
      <c r="M275" s="13">
        <v>55.42</v>
      </c>
      <c r="N275" s="20" t="s">
        <v>112</v>
      </c>
      <c r="O275" s="33" t="str">
        <f>VLOOKUP(N275,Reference!A:B,2,)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6" spans="1:15">
      <c r="A276" s="9">
        <v>275</v>
      </c>
      <c r="B276" s="10" t="s">
        <v>117</v>
      </c>
      <c r="C276" s="13">
        <v>30.8</v>
      </c>
      <c r="D276" s="13">
        <v>12.4</v>
      </c>
      <c r="E276" s="13">
        <v>15.1</v>
      </c>
      <c r="F276" s="13">
        <v>0.38</v>
      </c>
      <c r="G276" s="14" t="s">
        <v>2</v>
      </c>
      <c r="H276" s="14" t="s">
        <v>17</v>
      </c>
      <c r="I276" s="18" t="s">
        <v>59</v>
      </c>
      <c r="J276" s="18" t="s">
        <v>119</v>
      </c>
      <c r="K276" s="14">
        <v>160</v>
      </c>
      <c r="L276" s="14">
        <v>0.2</v>
      </c>
      <c r="M276" s="13">
        <v>65.739999999999995</v>
      </c>
      <c r="N276" s="20" t="s">
        <v>112</v>
      </c>
      <c r="O276" s="33" t="str">
        <f>VLOOKUP(N276,Reference!A:B,2,)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7" spans="1:15">
      <c r="A277" s="9">
        <v>276</v>
      </c>
      <c r="B277" s="10" t="s">
        <v>117</v>
      </c>
      <c r="C277" s="13">
        <v>30.8</v>
      </c>
      <c r="D277" s="13">
        <v>12.4</v>
      </c>
      <c r="E277" s="13">
        <v>15.1</v>
      </c>
      <c r="F277" s="13">
        <v>0.38</v>
      </c>
      <c r="G277" s="14" t="s">
        <v>2</v>
      </c>
      <c r="H277" s="14" t="s">
        <v>17</v>
      </c>
      <c r="I277" s="18" t="s">
        <v>59</v>
      </c>
      <c r="J277" s="18" t="s">
        <v>105</v>
      </c>
      <c r="K277" s="14">
        <v>160</v>
      </c>
      <c r="L277" s="14">
        <v>0.2</v>
      </c>
      <c r="M277" s="13">
        <v>55.9</v>
      </c>
      <c r="N277" s="20" t="s">
        <v>112</v>
      </c>
      <c r="O277" s="33" t="str">
        <f>VLOOKUP(N277,Reference!A:B,2,)</f>
        <v>He, Y.; Huang, M.; Tang, W.; Ma, C. Improving enzymatic hydrolysis of sunflower straw pretreated by deep eutectic solvent with different carboxylic acids as hydrogen bond donors. Industrial Crops and Products 2023, 193, 116157. DOI: https://doi.org/10.1016/j.indcrop.2022.116157.</v>
      </c>
    </row>
    <row r="278" spans="1:15">
      <c r="A278" s="9">
        <v>277</v>
      </c>
      <c r="B278" s="10" t="s">
        <v>120</v>
      </c>
      <c r="C278" s="13">
        <v>51.8</v>
      </c>
      <c r="D278" s="13">
        <v>17.5</v>
      </c>
      <c r="E278" s="13">
        <v>17.8</v>
      </c>
      <c r="F278" s="13">
        <v>1</v>
      </c>
      <c r="G278" s="14" t="s">
        <v>2</v>
      </c>
      <c r="H278" s="14" t="s">
        <v>16</v>
      </c>
      <c r="I278" s="14" t="s">
        <v>65</v>
      </c>
      <c r="J278" s="18" t="s">
        <v>55</v>
      </c>
      <c r="K278" s="14">
        <v>70</v>
      </c>
      <c r="L278" s="14">
        <v>2</v>
      </c>
      <c r="M278" s="13">
        <v>24.4</v>
      </c>
      <c r="N278" s="20" t="s">
        <v>113</v>
      </c>
      <c r="O278" s="33" t="str">
        <f>VLOOKUP(N278,Reference!A:B,2,)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79" spans="1:15">
      <c r="A279" s="9">
        <v>278</v>
      </c>
      <c r="B279" s="10" t="s">
        <v>120</v>
      </c>
      <c r="C279" s="13">
        <v>51.8</v>
      </c>
      <c r="D279" s="13">
        <v>17.5</v>
      </c>
      <c r="E279" s="13">
        <v>17.8</v>
      </c>
      <c r="F279" s="13">
        <v>1</v>
      </c>
      <c r="G279" s="14" t="s">
        <v>2</v>
      </c>
      <c r="H279" s="14" t="s">
        <v>16</v>
      </c>
      <c r="I279" s="14" t="s">
        <v>65</v>
      </c>
      <c r="J279" s="18" t="s">
        <v>55</v>
      </c>
      <c r="K279" s="14">
        <v>80</v>
      </c>
      <c r="L279" s="14">
        <v>2</v>
      </c>
      <c r="M279" s="13">
        <v>33.799999999999997</v>
      </c>
      <c r="N279" s="20" t="s">
        <v>113</v>
      </c>
      <c r="O279" s="33" t="str">
        <f>VLOOKUP(N279,Reference!A:B,2,)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80" spans="1:15">
      <c r="A280" s="9">
        <v>279</v>
      </c>
      <c r="B280" s="10" t="s">
        <v>120</v>
      </c>
      <c r="C280" s="13">
        <v>51.8</v>
      </c>
      <c r="D280" s="13">
        <v>17.5</v>
      </c>
      <c r="E280" s="13">
        <v>17.8</v>
      </c>
      <c r="F280" s="13">
        <v>1</v>
      </c>
      <c r="G280" s="14" t="s">
        <v>2</v>
      </c>
      <c r="H280" s="14" t="s">
        <v>16</v>
      </c>
      <c r="I280" s="14" t="s">
        <v>65</v>
      </c>
      <c r="J280" s="18" t="s">
        <v>55</v>
      </c>
      <c r="K280" s="14">
        <v>90</v>
      </c>
      <c r="L280" s="14">
        <v>2</v>
      </c>
      <c r="M280" s="13">
        <v>59.3</v>
      </c>
      <c r="N280" s="20" t="s">
        <v>113</v>
      </c>
      <c r="O280" s="33" t="str">
        <f>VLOOKUP(N280,Reference!A:B,2,)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81" spans="1:15">
      <c r="A281" s="9">
        <v>280</v>
      </c>
      <c r="B281" s="10" t="s">
        <v>120</v>
      </c>
      <c r="C281" s="13">
        <v>51.8</v>
      </c>
      <c r="D281" s="13">
        <v>17.5</v>
      </c>
      <c r="E281" s="13">
        <v>17.8</v>
      </c>
      <c r="F281" s="13">
        <v>1</v>
      </c>
      <c r="G281" s="14" t="s">
        <v>2</v>
      </c>
      <c r="H281" s="14" t="s">
        <v>16</v>
      </c>
      <c r="I281" s="14" t="s">
        <v>65</v>
      </c>
      <c r="J281" s="18" t="s">
        <v>55</v>
      </c>
      <c r="K281" s="14">
        <v>100</v>
      </c>
      <c r="L281" s="14">
        <v>2</v>
      </c>
      <c r="M281" s="13">
        <v>72.900000000000006</v>
      </c>
      <c r="N281" s="20" t="s">
        <v>113</v>
      </c>
      <c r="O281" s="33" t="str">
        <f>VLOOKUP(N281,Reference!A:B,2,)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82" spans="1:15">
      <c r="A282" s="9">
        <v>281</v>
      </c>
      <c r="B282" s="10" t="s">
        <v>120</v>
      </c>
      <c r="C282" s="13">
        <v>51.8</v>
      </c>
      <c r="D282" s="13">
        <v>17.5</v>
      </c>
      <c r="E282" s="13">
        <v>17.8</v>
      </c>
      <c r="F282" s="13">
        <v>1</v>
      </c>
      <c r="G282" s="14" t="s">
        <v>2</v>
      </c>
      <c r="H282" s="14" t="s">
        <v>16</v>
      </c>
      <c r="I282" s="14" t="s">
        <v>65</v>
      </c>
      <c r="J282" s="18" t="s">
        <v>55</v>
      </c>
      <c r="K282" s="14">
        <v>90</v>
      </c>
      <c r="L282" s="14">
        <v>1</v>
      </c>
      <c r="M282" s="13">
        <v>32</v>
      </c>
      <c r="N282" s="20" t="s">
        <v>113</v>
      </c>
      <c r="O282" s="33" t="str">
        <f>VLOOKUP(N282,Reference!A:B,2,)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83" spans="1:15">
      <c r="A283" s="9">
        <v>282</v>
      </c>
      <c r="B283" s="10" t="s">
        <v>120</v>
      </c>
      <c r="C283" s="13">
        <v>51.8</v>
      </c>
      <c r="D283" s="13">
        <v>17.5</v>
      </c>
      <c r="E283" s="13">
        <v>17.8</v>
      </c>
      <c r="F283" s="13">
        <v>1</v>
      </c>
      <c r="G283" s="14" t="s">
        <v>2</v>
      </c>
      <c r="H283" s="14" t="s">
        <v>16</v>
      </c>
      <c r="I283" s="14" t="s">
        <v>65</v>
      </c>
      <c r="J283" s="18" t="s">
        <v>55</v>
      </c>
      <c r="K283" s="14">
        <v>90</v>
      </c>
      <c r="L283" s="14">
        <v>1.5</v>
      </c>
      <c r="M283" s="13">
        <f>((17.8-10.645)/17.8)*100</f>
        <v>40.196629213483149</v>
      </c>
      <c r="N283" s="20" t="s">
        <v>113</v>
      </c>
      <c r="O283" s="33" t="str">
        <f>VLOOKUP(N283,Reference!A:B,2,)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84" spans="1:15">
      <c r="A284" s="9">
        <v>283</v>
      </c>
      <c r="B284" s="10" t="s">
        <v>120</v>
      </c>
      <c r="C284" s="13">
        <v>51.8</v>
      </c>
      <c r="D284" s="13">
        <v>17.5</v>
      </c>
      <c r="E284" s="13">
        <v>17.8</v>
      </c>
      <c r="F284" s="13">
        <v>1</v>
      </c>
      <c r="G284" s="14" t="s">
        <v>2</v>
      </c>
      <c r="H284" s="14" t="s">
        <v>16</v>
      </c>
      <c r="I284" s="14" t="s">
        <v>65</v>
      </c>
      <c r="J284" s="18" t="s">
        <v>55</v>
      </c>
      <c r="K284" s="14">
        <v>90</v>
      </c>
      <c r="L284" s="14">
        <f>15/6</f>
        <v>2.5</v>
      </c>
      <c r="M284" s="13">
        <v>64.099999999999994</v>
      </c>
      <c r="N284" s="20" t="s">
        <v>113</v>
      </c>
      <c r="O284" s="33" t="str">
        <f>VLOOKUP(N284,Reference!A:B,2,)</f>
        <v>Hong, S.; Song, Y.; Yuan, Y.; Lian, H.; Liimatainen, H. Production and characterization of lignin containing nanocellulose from luffa through an acidic deep eutectic solvent treatment and systematic fractionation. Industrial Crops and Products 2020, 143, 111913. DOI: https://doi.org/10.1016/j.indcrop.2019.111913.</v>
      </c>
    </row>
    <row r="285" spans="1:15">
      <c r="A285" s="9">
        <v>284</v>
      </c>
      <c r="B285" s="10" t="s">
        <v>121</v>
      </c>
      <c r="C285" s="13">
        <v>36.49</v>
      </c>
      <c r="D285" s="13">
        <v>14.91</v>
      </c>
      <c r="E285" s="13">
        <v>13.1</v>
      </c>
      <c r="F285" s="13">
        <v>0.5</v>
      </c>
      <c r="G285" s="14" t="s">
        <v>2</v>
      </c>
      <c r="H285" s="14" t="s">
        <v>24</v>
      </c>
      <c r="I285" s="18" t="s">
        <v>59</v>
      </c>
      <c r="J285" s="14" t="s">
        <v>58</v>
      </c>
      <c r="K285" s="14">
        <v>100</v>
      </c>
      <c r="L285" s="14">
        <v>3</v>
      </c>
      <c r="M285" s="13">
        <v>57.63</v>
      </c>
      <c r="N285" s="20" t="s">
        <v>114</v>
      </c>
      <c r="O285" s="33" t="str">
        <f>VLOOKUP(N285,Reference!A:B,2,)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86" spans="1:15">
      <c r="A286" s="9">
        <v>285</v>
      </c>
      <c r="B286" s="10" t="s">
        <v>121</v>
      </c>
      <c r="C286" s="13">
        <v>36.49</v>
      </c>
      <c r="D286" s="13">
        <v>14.91</v>
      </c>
      <c r="E286" s="13">
        <v>13.1</v>
      </c>
      <c r="F286" s="13">
        <v>0.5</v>
      </c>
      <c r="G286" s="14" t="s">
        <v>2</v>
      </c>
      <c r="H286" s="14" t="s">
        <v>38</v>
      </c>
      <c r="I286" s="18" t="s">
        <v>59</v>
      </c>
      <c r="J286" s="14" t="s">
        <v>58</v>
      </c>
      <c r="K286" s="14">
        <v>100</v>
      </c>
      <c r="L286" s="14">
        <v>3</v>
      </c>
      <c r="M286" s="13">
        <v>53.1</v>
      </c>
      <c r="N286" s="20" t="s">
        <v>114</v>
      </c>
      <c r="O286" s="33" t="str">
        <f>VLOOKUP(N286,Reference!A:B,2,)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87" spans="1:15">
      <c r="A287" s="9">
        <v>286</v>
      </c>
      <c r="B287" s="10" t="s">
        <v>121</v>
      </c>
      <c r="C287" s="13">
        <v>36.49</v>
      </c>
      <c r="D287" s="13">
        <v>14.91</v>
      </c>
      <c r="E287" s="13">
        <v>13.1</v>
      </c>
      <c r="F287" s="13">
        <v>0.5</v>
      </c>
      <c r="G287" s="14" t="s">
        <v>2</v>
      </c>
      <c r="H287" s="14" t="s">
        <v>9</v>
      </c>
      <c r="I287" s="18" t="s">
        <v>59</v>
      </c>
      <c r="J287" s="14" t="s">
        <v>58</v>
      </c>
      <c r="K287" s="14">
        <v>100</v>
      </c>
      <c r="L287" s="14">
        <v>3</v>
      </c>
      <c r="M287" s="13">
        <v>67.3</v>
      </c>
      <c r="N287" s="20" t="s">
        <v>114</v>
      </c>
      <c r="O287" s="33" t="str">
        <f>VLOOKUP(N287,Reference!A:B,2,)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88" spans="1:15">
      <c r="A288" s="9">
        <v>287</v>
      </c>
      <c r="B288" s="10" t="s">
        <v>121</v>
      </c>
      <c r="C288" s="13">
        <v>36.49</v>
      </c>
      <c r="D288" s="13">
        <v>14.91</v>
      </c>
      <c r="E288" s="13">
        <v>13.1</v>
      </c>
      <c r="F288" s="13">
        <v>0.5</v>
      </c>
      <c r="G288" s="14" t="s">
        <v>2</v>
      </c>
      <c r="H288" s="14" t="s">
        <v>7</v>
      </c>
      <c r="I288" s="18" t="s">
        <v>59</v>
      </c>
      <c r="J288" s="14" t="s">
        <v>58</v>
      </c>
      <c r="K288" s="14">
        <v>100</v>
      </c>
      <c r="L288" s="14">
        <v>3</v>
      </c>
      <c r="M288" s="13">
        <v>39.229999999999997</v>
      </c>
      <c r="N288" s="20" t="s">
        <v>114</v>
      </c>
      <c r="O288" s="33" t="str">
        <f>VLOOKUP(N288,Reference!A:B,2,)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89" spans="1:15">
      <c r="A289" s="9">
        <v>288</v>
      </c>
      <c r="B289" s="10" t="s">
        <v>121</v>
      </c>
      <c r="C289" s="13">
        <v>36.49</v>
      </c>
      <c r="D289" s="13">
        <v>14.91</v>
      </c>
      <c r="E289" s="13">
        <v>13.1</v>
      </c>
      <c r="F289" s="13">
        <v>0.5</v>
      </c>
      <c r="G289" s="14" t="s">
        <v>2</v>
      </c>
      <c r="H289" s="14" t="s">
        <v>8</v>
      </c>
      <c r="I289" s="18" t="s">
        <v>59</v>
      </c>
      <c r="J289" s="14" t="s">
        <v>58</v>
      </c>
      <c r="K289" s="14">
        <v>100</v>
      </c>
      <c r="L289" s="14">
        <v>3</v>
      </c>
      <c r="M289" s="13">
        <v>47.56</v>
      </c>
      <c r="N289" s="20" t="s">
        <v>114</v>
      </c>
      <c r="O289" s="33" t="str">
        <f>VLOOKUP(N289,Reference!A:B,2,)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0" spans="1:15">
      <c r="A290" s="9">
        <v>289</v>
      </c>
      <c r="B290" s="10" t="s">
        <v>121</v>
      </c>
      <c r="C290" s="13">
        <v>36.49</v>
      </c>
      <c r="D290" s="13">
        <v>14.91</v>
      </c>
      <c r="E290" s="13">
        <v>13.1</v>
      </c>
      <c r="F290" s="13">
        <v>0.5</v>
      </c>
      <c r="G290" s="14" t="s">
        <v>2</v>
      </c>
      <c r="H290" s="14" t="s">
        <v>9</v>
      </c>
      <c r="I290" s="18" t="s">
        <v>59</v>
      </c>
      <c r="J290" s="14" t="s">
        <v>58</v>
      </c>
      <c r="K290" s="14">
        <v>60</v>
      </c>
      <c r="L290" s="14">
        <v>1</v>
      </c>
      <c r="M290" s="13">
        <v>51.91</v>
      </c>
      <c r="N290" s="20" t="s">
        <v>114</v>
      </c>
      <c r="O290" s="33" t="str">
        <f>VLOOKUP(N290,Reference!A:B,2,)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1" spans="1:15">
      <c r="A291" s="9">
        <v>290</v>
      </c>
      <c r="B291" s="10" t="s">
        <v>121</v>
      </c>
      <c r="C291" s="13">
        <v>36.49</v>
      </c>
      <c r="D291" s="13">
        <v>14.91</v>
      </c>
      <c r="E291" s="13">
        <v>13.1</v>
      </c>
      <c r="F291" s="13">
        <v>0.5</v>
      </c>
      <c r="G291" s="14" t="s">
        <v>2</v>
      </c>
      <c r="H291" s="14" t="s">
        <v>9</v>
      </c>
      <c r="I291" s="18" t="s">
        <v>59</v>
      </c>
      <c r="J291" s="14" t="s">
        <v>58</v>
      </c>
      <c r="K291" s="14">
        <v>60</v>
      </c>
      <c r="L291" s="14">
        <v>2</v>
      </c>
      <c r="M291" s="13">
        <v>52.29</v>
      </c>
      <c r="N291" s="20" t="s">
        <v>114</v>
      </c>
      <c r="O291" s="33" t="str">
        <f>VLOOKUP(N291,Reference!A:B,2,)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2" spans="1:15">
      <c r="A292" s="9">
        <v>291</v>
      </c>
      <c r="B292" s="10" t="s">
        <v>121</v>
      </c>
      <c r="C292" s="13">
        <v>36.49</v>
      </c>
      <c r="D292" s="13">
        <v>14.91</v>
      </c>
      <c r="E292" s="13">
        <v>13.1</v>
      </c>
      <c r="F292" s="13">
        <v>0.5</v>
      </c>
      <c r="G292" s="14" t="s">
        <v>2</v>
      </c>
      <c r="H292" s="14" t="s">
        <v>9</v>
      </c>
      <c r="I292" s="18" t="s">
        <v>59</v>
      </c>
      <c r="J292" s="14" t="s">
        <v>58</v>
      </c>
      <c r="K292" s="14">
        <v>60</v>
      </c>
      <c r="L292" s="14">
        <v>3</v>
      </c>
      <c r="M292" s="13">
        <v>55</v>
      </c>
      <c r="N292" s="20" t="s">
        <v>114</v>
      </c>
      <c r="O292" s="33" t="str">
        <f>VLOOKUP(N292,Reference!A:B,2,)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3" spans="1:15">
      <c r="A293" s="9">
        <v>292</v>
      </c>
      <c r="B293" s="10" t="s">
        <v>121</v>
      </c>
      <c r="C293" s="13">
        <v>36.49</v>
      </c>
      <c r="D293" s="13">
        <v>14.91</v>
      </c>
      <c r="E293" s="13">
        <v>13.1</v>
      </c>
      <c r="F293" s="13">
        <v>0.5</v>
      </c>
      <c r="G293" s="14" t="s">
        <v>2</v>
      </c>
      <c r="H293" s="14" t="s">
        <v>9</v>
      </c>
      <c r="I293" s="18" t="s">
        <v>59</v>
      </c>
      <c r="J293" s="14" t="s">
        <v>58</v>
      </c>
      <c r="K293" s="14">
        <v>80</v>
      </c>
      <c r="L293" s="14">
        <v>1</v>
      </c>
      <c r="M293" s="13">
        <v>52.75</v>
      </c>
      <c r="N293" s="20" t="s">
        <v>114</v>
      </c>
      <c r="O293" s="33" t="str">
        <f>VLOOKUP(N293,Reference!A:B,2,)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4" spans="1:15">
      <c r="A294" s="9">
        <v>293</v>
      </c>
      <c r="B294" s="10" t="s">
        <v>121</v>
      </c>
      <c r="C294" s="13">
        <v>36.49</v>
      </c>
      <c r="D294" s="13">
        <v>14.91</v>
      </c>
      <c r="E294" s="13">
        <v>13.1</v>
      </c>
      <c r="F294" s="13">
        <v>0.5</v>
      </c>
      <c r="G294" s="14" t="s">
        <v>2</v>
      </c>
      <c r="H294" s="14" t="s">
        <v>9</v>
      </c>
      <c r="I294" s="18" t="s">
        <v>59</v>
      </c>
      <c r="J294" s="14" t="s">
        <v>58</v>
      </c>
      <c r="K294" s="14">
        <v>80</v>
      </c>
      <c r="L294" s="14">
        <v>2</v>
      </c>
      <c r="M294" s="13">
        <v>55.88</v>
      </c>
      <c r="N294" s="20" t="s">
        <v>114</v>
      </c>
      <c r="O294" s="33" t="str">
        <f>VLOOKUP(N294,Reference!A:B,2,)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5" spans="1:15">
      <c r="A295" s="9">
        <v>294</v>
      </c>
      <c r="B295" s="10" t="s">
        <v>121</v>
      </c>
      <c r="C295" s="13">
        <v>36.49</v>
      </c>
      <c r="D295" s="13">
        <v>14.91</v>
      </c>
      <c r="E295" s="13">
        <v>13.1</v>
      </c>
      <c r="F295" s="13">
        <v>0.5</v>
      </c>
      <c r="G295" s="14" t="s">
        <v>2</v>
      </c>
      <c r="H295" s="14" t="s">
        <v>9</v>
      </c>
      <c r="I295" s="18" t="s">
        <v>59</v>
      </c>
      <c r="J295" s="14" t="s">
        <v>58</v>
      </c>
      <c r="K295" s="14">
        <v>80</v>
      </c>
      <c r="L295" s="14">
        <v>3</v>
      </c>
      <c r="M295" s="13">
        <v>60.84</v>
      </c>
      <c r="N295" s="20" t="s">
        <v>114</v>
      </c>
      <c r="O295" s="33" t="str">
        <f>VLOOKUP(N295,Reference!A:B,2,)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6" spans="1:15">
      <c r="A296" s="9">
        <v>295</v>
      </c>
      <c r="B296" s="10" t="s">
        <v>121</v>
      </c>
      <c r="C296" s="13">
        <v>36.49</v>
      </c>
      <c r="D296" s="13">
        <v>14.91</v>
      </c>
      <c r="E296" s="13">
        <v>13.1</v>
      </c>
      <c r="F296" s="13">
        <v>0.5</v>
      </c>
      <c r="G296" s="14" t="s">
        <v>2</v>
      </c>
      <c r="H296" s="14" t="s">
        <v>9</v>
      </c>
      <c r="I296" s="18" t="s">
        <v>59</v>
      </c>
      <c r="J296" s="14" t="s">
        <v>58</v>
      </c>
      <c r="K296" s="14">
        <v>100</v>
      </c>
      <c r="L296" s="14">
        <v>1</v>
      </c>
      <c r="M296" s="13">
        <v>60.7</v>
      </c>
      <c r="N296" s="20" t="s">
        <v>114</v>
      </c>
      <c r="O296" s="33" t="str">
        <f>VLOOKUP(N296,Reference!A:B,2,)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7" spans="1:15">
      <c r="A297" s="9">
        <v>296</v>
      </c>
      <c r="B297" s="10" t="s">
        <v>121</v>
      </c>
      <c r="C297" s="13">
        <v>36.49</v>
      </c>
      <c r="D297" s="13">
        <v>14.91</v>
      </c>
      <c r="E297" s="13">
        <v>13.1</v>
      </c>
      <c r="F297" s="13">
        <v>0.5</v>
      </c>
      <c r="G297" s="14" t="s">
        <v>2</v>
      </c>
      <c r="H297" s="14" t="s">
        <v>9</v>
      </c>
      <c r="I297" s="18" t="s">
        <v>59</v>
      </c>
      <c r="J297" s="14" t="s">
        <v>58</v>
      </c>
      <c r="K297" s="14">
        <v>100</v>
      </c>
      <c r="L297" s="14">
        <v>2</v>
      </c>
      <c r="M297" s="13">
        <v>63.1</v>
      </c>
      <c r="N297" s="20" t="s">
        <v>114</v>
      </c>
      <c r="O297" s="33" t="str">
        <f>VLOOKUP(N297,Reference!A:B,2,)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8" spans="1:15">
      <c r="A298" s="9">
        <v>297</v>
      </c>
      <c r="B298" s="10" t="s">
        <v>121</v>
      </c>
      <c r="C298" s="13">
        <v>36.49</v>
      </c>
      <c r="D298" s="13">
        <v>14.91</v>
      </c>
      <c r="E298" s="13">
        <v>13.1</v>
      </c>
      <c r="F298" s="13">
        <v>0.5</v>
      </c>
      <c r="G298" s="14" t="s">
        <v>2</v>
      </c>
      <c r="H298" s="14" t="s">
        <v>9</v>
      </c>
      <c r="I298" s="18" t="s">
        <v>59</v>
      </c>
      <c r="J298" s="14" t="s">
        <v>58</v>
      </c>
      <c r="K298" s="14">
        <v>100</v>
      </c>
      <c r="L298" s="14">
        <v>3</v>
      </c>
      <c r="M298" s="13">
        <v>67.56</v>
      </c>
      <c r="N298" s="20" t="s">
        <v>114</v>
      </c>
      <c r="O298" s="33" t="str">
        <f>VLOOKUP(N298,Reference!A:B,2,)</f>
        <v>Okuofu, S. I.; Gerrano, A. S.; Singh, S.; Pillai, S. Deep eutectic solvent pretreatment of Bambara groundnut haulm for enhanced saccharification and bioethanol production. Biomass Conversion and Biorefinery 2022, 12 (8), 3525-3533. DOI: 10.1007/s13399-020-01053-w.</v>
      </c>
    </row>
    <row r="299" spans="1:15">
      <c r="A299" s="9">
        <v>298</v>
      </c>
      <c r="B299" s="10" t="s">
        <v>122</v>
      </c>
      <c r="C299" s="13">
        <v>28.02</v>
      </c>
      <c r="D299" s="13">
        <v>24.15</v>
      </c>
      <c r="E299" s="13">
        <v>18.11</v>
      </c>
      <c r="F299" s="13">
        <v>1</v>
      </c>
      <c r="G299" s="14" t="s">
        <v>2</v>
      </c>
      <c r="H299" s="14" t="s">
        <v>8</v>
      </c>
      <c r="I299" s="18" t="s">
        <v>59</v>
      </c>
      <c r="J299" s="23">
        <v>5.2777777777777798E-2</v>
      </c>
      <c r="K299" s="14">
        <v>80</v>
      </c>
      <c r="L299" s="14">
        <v>3</v>
      </c>
      <c r="M299" s="13">
        <v>12.2</v>
      </c>
      <c r="N299" s="20" t="s">
        <v>115</v>
      </c>
      <c r="O299" s="33" t="str">
        <f>VLOOKUP(N299,Reference!A:B,2,)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0" spans="1:15">
      <c r="A300" s="9">
        <v>299</v>
      </c>
      <c r="B300" s="10" t="s">
        <v>122</v>
      </c>
      <c r="C300" s="13">
        <v>28.02</v>
      </c>
      <c r="D300" s="13">
        <v>24.15</v>
      </c>
      <c r="E300" s="13">
        <v>18.11</v>
      </c>
      <c r="F300" s="13">
        <v>1</v>
      </c>
      <c r="G300" s="14" t="s">
        <v>2</v>
      </c>
      <c r="H300" s="14" t="s">
        <v>8</v>
      </c>
      <c r="I300" s="18" t="s">
        <v>59</v>
      </c>
      <c r="J300" s="23">
        <v>5.2777777777777798E-2</v>
      </c>
      <c r="K300" s="14">
        <v>80</v>
      </c>
      <c r="L300" s="14">
        <v>6</v>
      </c>
      <c r="M300" s="13">
        <v>12.2</v>
      </c>
      <c r="N300" s="20" t="s">
        <v>115</v>
      </c>
      <c r="O300" s="33" t="str">
        <f>VLOOKUP(N300,Reference!A:B,2,)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1" spans="1:15">
      <c r="A301" s="9">
        <v>300</v>
      </c>
      <c r="B301" s="10" t="s">
        <v>122</v>
      </c>
      <c r="C301" s="13">
        <v>28.02</v>
      </c>
      <c r="D301" s="13">
        <v>24.15</v>
      </c>
      <c r="E301" s="13">
        <v>18.11</v>
      </c>
      <c r="F301" s="13">
        <v>1</v>
      </c>
      <c r="G301" s="14" t="s">
        <v>2</v>
      </c>
      <c r="H301" s="14" t="s">
        <v>8</v>
      </c>
      <c r="I301" s="18" t="s">
        <v>59</v>
      </c>
      <c r="J301" s="23">
        <v>5.2777777777777798E-2</v>
      </c>
      <c r="K301" s="14">
        <v>80</v>
      </c>
      <c r="L301" s="14">
        <v>16</v>
      </c>
      <c r="M301" s="13">
        <v>13.31</v>
      </c>
      <c r="N301" s="20" t="s">
        <v>115</v>
      </c>
      <c r="O301" s="33" t="str">
        <f>VLOOKUP(N301,Reference!A:B,2,)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2" spans="1:15">
      <c r="A302" s="9">
        <v>301</v>
      </c>
      <c r="B302" s="10" t="s">
        <v>122</v>
      </c>
      <c r="C302" s="13">
        <v>28.02</v>
      </c>
      <c r="D302" s="13">
        <v>24.15</v>
      </c>
      <c r="E302" s="13">
        <v>18.11</v>
      </c>
      <c r="F302" s="13">
        <v>1</v>
      </c>
      <c r="G302" s="14" t="s">
        <v>2</v>
      </c>
      <c r="H302" s="14" t="s">
        <v>8</v>
      </c>
      <c r="I302" s="18" t="s">
        <v>59</v>
      </c>
      <c r="J302" s="23">
        <v>5.2777777777777798E-2</v>
      </c>
      <c r="K302" s="14">
        <v>115</v>
      </c>
      <c r="L302" s="14">
        <v>3</v>
      </c>
      <c r="M302" s="13">
        <v>24.35</v>
      </c>
      <c r="N302" s="20" t="s">
        <v>115</v>
      </c>
      <c r="O302" s="33" t="str">
        <f>VLOOKUP(N302,Reference!A:B,2,)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3" spans="1:15">
      <c r="A303" s="9">
        <v>302</v>
      </c>
      <c r="B303" s="10" t="s">
        <v>122</v>
      </c>
      <c r="C303" s="13">
        <v>28.02</v>
      </c>
      <c r="D303" s="13">
        <v>24.15</v>
      </c>
      <c r="E303" s="13">
        <v>18.11</v>
      </c>
      <c r="F303" s="13">
        <v>1</v>
      </c>
      <c r="G303" s="14" t="s">
        <v>2</v>
      </c>
      <c r="H303" s="14" t="s">
        <v>8</v>
      </c>
      <c r="I303" s="18" t="s">
        <v>59</v>
      </c>
      <c r="J303" s="23">
        <v>5.2777777777777798E-2</v>
      </c>
      <c r="K303" s="14">
        <v>115</v>
      </c>
      <c r="L303" s="14">
        <v>6</v>
      </c>
      <c r="M303" s="13">
        <v>25.46</v>
      </c>
      <c r="N303" s="20" t="s">
        <v>115</v>
      </c>
      <c r="O303" s="33" t="str">
        <f>VLOOKUP(N303,Reference!A:B,2,)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4" spans="1:15">
      <c r="A304" s="9">
        <v>303</v>
      </c>
      <c r="B304" s="10" t="s">
        <v>122</v>
      </c>
      <c r="C304" s="13">
        <v>28.02</v>
      </c>
      <c r="D304" s="13">
        <v>24.15</v>
      </c>
      <c r="E304" s="13">
        <v>18.11</v>
      </c>
      <c r="F304" s="13">
        <v>1</v>
      </c>
      <c r="G304" s="14" t="s">
        <v>2</v>
      </c>
      <c r="H304" s="14" t="s">
        <v>8</v>
      </c>
      <c r="I304" s="18" t="s">
        <v>59</v>
      </c>
      <c r="J304" s="23">
        <v>5.2777777777777798E-2</v>
      </c>
      <c r="K304" s="14">
        <v>115</v>
      </c>
      <c r="L304" s="14">
        <v>16</v>
      </c>
      <c r="M304" s="13">
        <v>26.56</v>
      </c>
      <c r="N304" s="20" t="s">
        <v>115</v>
      </c>
      <c r="O304" s="33" t="str">
        <f>VLOOKUP(N304,Reference!A:B,2,)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5" spans="1:15">
      <c r="A305" s="9">
        <v>304</v>
      </c>
      <c r="B305" s="10" t="s">
        <v>122</v>
      </c>
      <c r="C305" s="13">
        <v>28.02</v>
      </c>
      <c r="D305" s="13">
        <v>24.15</v>
      </c>
      <c r="E305" s="13">
        <v>18.11</v>
      </c>
      <c r="F305" s="13">
        <v>1</v>
      </c>
      <c r="G305" s="14" t="s">
        <v>2</v>
      </c>
      <c r="H305" s="14" t="s">
        <v>8</v>
      </c>
      <c r="I305" s="18" t="s">
        <v>59</v>
      </c>
      <c r="J305" s="23">
        <v>5.2777777777777798E-2</v>
      </c>
      <c r="K305" s="14">
        <v>150</v>
      </c>
      <c r="L305" s="14">
        <v>3</v>
      </c>
      <c r="M305" s="13">
        <v>36.5</v>
      </c>
      <c r="N305" s="20" t="s">
        <v>115</v>
      </c>
      <c r="O305" s="33" t="str">
        <f>VLOOKUP(N305,Reference!A:B,2,)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6" spans="1:15">
      <c r="A306" s="9">
        <v>305</v>
      </c>
      <c r="B306" s="10" t="s">
        <v>122</v>
      </c>
      <c r="C306" s="13">
        <v>28.02</v>
      </c>
      <c r="D306" s="13">
        <v>24.15</v>
      </c>
      <c r="E306" s="13">
        <v>18.11</v>
      </c>
      <c r="F306" s="13">
        <v>1</v>
      </c>
      <c r="G306" s="14" t="s">
        <v>2</v>
      </c>
      <c r="H306" s="14" t="s">
        <v>8</v>
      </c>
      <c r="I306" s="18" t="s">
        <v>59</v>
      </c>
      <c r="J306" s="23">
        <v>5.2777777777777798E-2</v>
      </c>
      <c r="K306" s="14">
        <v>150</v>
      </c>
      <c r="L306" s="14">
        <v>6</v>
      </c>
      <c r="M306" s="13">
        <v>40.92</v>
      </c>
      <c r="N306" s="20" t="s">
        <v>115</v>
      </c>
      <c r="O306" s="33" t="str">
        <f>VLOOKUP(N306,Reference!A:B,2,)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  <row r="307" spans="1:15">
      <c r="A307" s="9">
        <v>306</v>
      </c>
      <c r="B307" s="10" t="s">
        <v>122</v>
      </c>
      <c r="C307" s="13">
        <v>28.02</v>
      </c>
      <c r="D307" s="13">
        <v>24.15</v>
      </c>
      <c r="E307" s="13">
        <v>18.11</v>
      </c>
      <c r="F307" s="13">
        <v>1</v>
      </c>
      <c r="G307" s="14" t="s">
        <v>2</v>
      </c>
      <c r="H307" s="14" t="s">
        <v>8</v>
      </c>
      <c r="I307" s="18" t="s">
        <v>59</v>
      </c>
      <c r="J307" s="23">
        <v>5.2777777777777798E-2</v>
      </c>
      <c r="K307" s="14">
        <v>150</v>
      </c>
      <c r="L307" s="14">
        <v>16</v>
      </c>
      <c r="M307" s="13">
        <v>43.68</v>
      </c>
      <c r="N307" s="20" t="s">
        <v>115</v>
      </c>
      <c r="O307" s="33" t="str">
        <f>VLOOKUP(N307,Reference!A:B,2,)</f>
        <v>Procentese, A.; Raganati, F.; Olivieri, G.; Russo, M. E.; Rehmann, L.; Marzocchella, A. Low-energy biomass pretreatment with deep eutectic solvents for bio-butanol production. Bioresource Technology 2017, 243, 464-473. DOI: https://doi.org/10.1016/j.biortech.2017.06.143.</v>
      </c>
    </row>
  </sheetData>
  <hyperlinks>
    <hyperlink ref="H264" r:id="rId1" tooltip="https://www.sciencedirect.com/topics/agricultural-and-biological-sciences/tartaric-acid" xr:uid="{A6C75CCC-3457-4890-BC64-20B73C8FE32C}"/>
  </hyperlinks>
  <pageMargins left="0.7" right="0.7" top="0.75" bottom="0.75" header="0.3" footer="0.3"/>
  <pageSetup scale="5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1"/>
  <sheetViews>
    <sheetView zoomScale="85" zoomScaleNormal="85" workbookViewId="0">
      <selection activeCell="B9" sqref="B9"/>
    </sheetView>
  </sheetViews>
  <sheetFormatPr defaultColWidth="9" defaultRowHeight="15"/>
  <cols>
    <col min="1" max="1" width="15.85546875" style="1" customWidth="1"/>
    <col min="2" max="2" width="255.7109375" style="2" bestFit="1" customWidth="1"/>
    <col min="3" max="16384" width="9" style="2"/>
  </cols>
  <sheetData>
    <row r="1" spans="1:2">
      <c r="A1" s="29" t="s">
        <v>123</v>
      </c>
      <c r="B1" s="30"/>
    </row>
    <row r="2" spans="1:2">
      <c r="A2" s="3"/>
      <c r="B2" s="4"/>
    </row>
    <row r="3" spans="1:2">
      <c r="A3" s="28" t="s">
        <v>163</v>
      </c>
      <c r="B3" s="5" t="s">
        <v>124</v>
      </c>
    </row>
    <row r="4" spans="1:2">
      <c r="A4" s="6" t="s">
        <v>56</v>
      </c>
      <c r="B4" s="2" t="s">
        <v>125</v>
      </c>
    </row>
    <row r="5" spans="1:2">
      <c r="A5" s="7" t="s">
        <v>60</v>
      </c>
      <c r="B5" s="2" t="s">
        <v>126</v>
      </c>
    </row>
    <row r="6" spans="1:2">
      <c r="A6" s="7" t="s">
        <v>63</v>
      </c>
      <c r="B6" s="2" t="s">
        <v>127</v>
      </c>
    </row>
    <row r="7" spans="1:2">
      <c r="A7" s="7" t="s">
        <v>66</v>
      </c>
      <c r="B7" s="2" t="s">
        <v>128</v>
      </c>
    </row>
    <row r="8" spans="1:2">
      <c r="A8" s="7" t="s">
        <v>68</v>
      </c>
      <c r="B8" s="2" t="s">
        <v>129</v>
      </c>
    </row>
    <row r="9" spans="1:2" ht="15.75">
      <c r="A9" s="7" t="s">
        <v>69</v>
      </c>
      <c r="B9" s="8" t="s">
        <v>130</v>
      </c>
    </row>
    <row r="10" spans="1:2">
      <c r="A10" s="7" t="s">
        <v>70</v>
      </c>
      <c r="B10" s="2" t="s">
        <v>131</v>
      </c>
    </row>
    <row r="11" spans="1:2">
      <c r="A11" s="7" t="s">
        <v>71</v>
      </c>
      <c r="B11" s="2" t="s">
        <v>132</v>
      </c>
    </row>
    <row r="12" spans="1:2">
      <c r="A12" s="7" t="s">
        <v>72</v>
      </c>
      <c r="B12" s="2" t="s">
        <v>133</v>
      </c>
    </row>
    <row r="13" spans="1:2">
      <c r="A13" s="7" t="s">
        <v>74</v>
      </c>
      <c r="B13" s="2" t="s">
        <v>134</v>
      </c>
    </row>
    <row r="14" spans="1:2">
      <c r="A14" s="7" t="s">
        <v>76</v>
      </c>
      <c r="B14" s="2" t="s">
        <v>135</v>
      </c>
    </row>
    <row r="15" spans="1:2">
      <c r="A15" s="7" t="s">
        <v>79</v>
      </c>
      <c r="B15" s="2" t="s">
        <v>136</v>
      </c>
    </row>
    <row r="16" spans="1:2">
      <c r="A16" s="7" t="s">
        <v>81</v>
      </c>
      <c r="B16" s="2" t="s">
        <v>137</v>
      </c>
    </row>
    <row r="17" spans="1:2">
      <c r="A17" s="7" t="s">
        <v>82</v>
      </c>
      <c r="B17" s="2" t="s">
        <v>138</v>
      </c>
    </row>
    <row r="18" spans="1:2">
      <c r="A18" s="7" t="s">
        <v>83</v>
      </c>
      <c r="B18" s="2" t="s">
        <v>139</v>
      </c>
    </row>
    <row r="19" spans="1:2">
      <c r="A19" s="7" t="s">
        <v>84</v>
      </c>
      <c r="B19" s="2" t="s">
        <v>140</v>
      </c>
    </row>
    <row r="20" spans="1:2">
      <c r="A20" s="7" t="s">
        <v>88</v>
      </c>
      <c r="B20" s="2" t="s">
        <v>141</v>
      </c>
    </row>
    <row r="21" spans="1:2">
      <c r="A21" s="7" t="s">
        <v>89</v>
      </c>
      <c r="B21" s="2" t="s">
        <v>142</v>
      </c>
    </row>
    <row r="22" spans="1:2">
      <c r="A22" s="7" t="s">
        <v>90</v>
      </c>
      <c r="B22" s="2" t="s">
        <v>143</v>
      </c>
    </row>
    <row r="23" spans="1:2">
      <c r="A23" s="7" t="s">
        <v>92</v>
      </c>
      <c r="B23" s="2" t="s">
        <v>144</v>
      </c>
    </row>
    <row r="24" spans="1:2">
      <c r="A24" s="7" t="s">
        <v>93</v>
      </c>
      <c r="B24" s="2" t="s">
        <v>145</v>
      </c>
    </row>
    <row r="25" spans="1:2">
      <c r="A25" s="7" t="s">
        <v>94</v>
      </c>
      <c r="B25" s="2" t="s">
        <v>146</v>
      </c>
    </row>
    <row r="26" spans="1:2">
      <c r="A26" s="7" t="s">
        <v>95</v>
      </c>
      <c r="B26" s="2" t="s">
        <v>147</v>
      </c>
    </row>
    <row r="27" spans="1:2">
      <c r="A27" s="7" t="s">
        <v>97</v>
      </c>
      <c r="B27" s="2" t="s">
        <v>148</v>
      </c>
    </row>
    <row r="28" spans="1:2">
      <c r="A28" s="7" t="s">
        <v>99</v>
      </c>
      <c r="B28" s="2" t="s">
        <v>149</v>
      </c>
    </row>
    <row r="29" spans="1:2">
      <c r="A29" s="7" t="s">
        <v>100</v>
      </c>
      <c r="B29" s="2" t="s">
        <v>150</v>
      </c>
    </row>
    <row r="30" spans="1:2">
      <c r="A30" s="7" t="s">
        <v>101</v>
      </c>
      <c r="B30" s="2" t="s">
        <v>151</v>
      </c>
    </row>
    <row r="31" spans="1:2">
      <c r="A31" s="7" t="s">
        <v>102</v>
      </c>
      <c r="B31" s="2" t="s">
        <v>152</v>
      </c>
    </row>
    <row r="32" spans="1:2">
      <c r="A32" s="7" t="s">
        <v>103</v>
      </c>
      <c r="B32" s="2" t="s">
        <v>153</v>
      </c>
    </row>
    <row r="33" spans="1:2">
      <c r="A33" s="7" t="s">
        <v>106</v>
      </c>
      <c r="B33" s="2" t="s">
        <v>154</v>
      </c>
    </row>
    <row r="34" spans="1:2">
      <c r="A34" s="7" t="s">
        <v>107</v>
      </c>
      <c r="B34" s="2" t="s">
        <v>155</v>
      </c>
    </row>
    <row r="35" spans="1:2">
      <c r="A35" s="7" t="s">
        <v>108</v>
      </c>
      <c r="B35" s="2" t="s">
        <v>156</v>
      </c>
    </row>
    <row r="36" spans="1:2">
      <c r="A36" s="7" t="s">
        <v>109</v>
      </c>
      <c r="B36" s="2" t="s">
        <v>157</v>
      </c>
    </row>
    <row r="37" spans="1:2">
      <c r="A37" s="7" t="s">
        <v>111</v>
      </c>
      <c r="B37" s="2" t="s">
        <v>158</v>
      </c>
    </row>
    <row r="38" spans="1:2">
      <c r="A38" s="7" t="s">
        <v>112</v>
      </c>
      <c r="B38" s="2" t="s">
        <v>159</v>
      </c>
    </row>
    <row r="39" spans="1:2">
      <c r="A39" s="7" t="s">
        <v>113</v>
      </c>
      <c r="B39" s="2" t="s">
        <v>160</v>
      </c>
    </row>
    <row r="40" spans="1:2">
      <c r="A40" s="7" t="s">
        <v>114</v>
      </c>
      <c r="B40" s="2" t="s">
        <v>161</v>
      </c>
    </row>
    <row r="41" spans="1:2">
      <c r="A41" s="7" t="s">
        <v>115</v>
      </c>
      <c r="B41" s="2" t="s">
        <v>162</v>
      </c>
    </row>
  </sheetData>
  <autoFilter ref="A3:B41" xr:uid="{00000000-0001-0000-0600-000000000000}"/>
  <mergeCells count="1">
    <mergeCell ref="A1:B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Dataset</vt:lpstr>
      <vt:lpstr>Reference</vt:lpstr>
      <vt:lpstr>Reference!Print_Area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Hussein Ibrahim</cp:lastModifiedBy>
  <dcterms:created xsi:type="dcterms:W3CDTF">2025-04-11T12:24:00Z</dcterms:created>
  <dcterms:modified xsi:type="dcterms:W3CDTF">2026-06-20T15:04:13Z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729A76508D2346A2AE840A222DBEA26B_13</vt:lpwstr>
  </property>
  <property fmtid="{D5CDD505-2E9C-101B-9397-08002B2CF9AE}" pid="3" name="KSOProductBuildVer">
    <vt:lpwstr>2052-12.1.0.21915</vt:lpwstr>
  </property>
</Properties>
</file>